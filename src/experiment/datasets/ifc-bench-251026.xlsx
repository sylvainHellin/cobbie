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IfcBenchProject\"/>
    </mc:Choice>
  </mc:AlternateContent>
  <xr:revisionPtr revIDLastSave="0" documentId="13_ncr:1_{FB7297E7-0E5E-4A0E-AB6E-5B3F21F1277C}" xr6:coauthVersionLast="47" xr6:coauthVersionMax="47" xr10:uidLastSave="{00000000-0000-0000-0000-000000000000}"/>
  <bookViews>
    <workbookView xWindow="-120" yWindow="-120" windowWidth="29040" windowHeight="15720" xr2:uid="{523FBE56-A006-2344-AF9D-83564D0698F7}"/>
  </bookViews>
  <sheets>
    <sheet name="ifc-bench" sheetId="1" r:id="rId1"/>
    <sheet name="ifcmodel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7" i="1" l="1"/>
  <c r="A770" i="1"/>
  <c r="A509" i="1"/>
  <c r="A692" i="1"/>
  <c r="A693" i="1"/>
  <c r="A694" i="1"/>
  <c r="A695" i="1"/>
  <c r="A696" i="1"/>
  <c r="A697" i="1"/>
  <c r="A698" i="1"/>
  <c r="A699" i="1"/>
  <c r="A700" i="1"/>
  <c r="A701" i="1"/>
  <c r="A702" i="1"/>
  <c r="A703" i="1"/>
  <c r="A704" i="1"/>
  <c r="A705" i="1"/>
  <c r="A706" i="1"/>
  <c r="A707" i="1"/>
  <c r="A708" i="1"/>
  <c r="A709" i="1"/>
  <c r="A710" i="1"/>
  <c r="A711" i="1"/>
  <c r="A712" i="1"/>
  <c r="A713" i="1"/>
  <c r="A691" i="1"/>
  <c r="A351" i="1"/>
  <c r="A114" i="1"/>
  <c r="A282" i="1"/>
  <c r="A306" i="1"/>
  <c r="A13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5" i="1"/>
  <c r="A116" i="1"/>
  <c r="A117" i="1"/>
  <c r="A118" i="1"/>
  <c r="A119" i="1"/>
  <c r="A120" i="1"/>
  <c r="A121" i="1"/>
  <c r="A122" i="1"/>
  <c r="A123" i="1"/>
  <c r="A124" i="1"/>
  <c r="A125" i="1"/>
  <c r="A126" i="1"/>
  <c r="A127" i="1"/>
  <c r="A128" i="1"/>
  <c r="A129" i="1"/>
  <c r="A130" i="1"/>
  <c r="A131"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3" i="1"/>
  <c r="A284" i="1"/>
  <c r="A285" i="1"/>
  <c r="A286" i="1"/>
  <c r="A287" i="1"/>
  <c r="A288" i="1"/>
  <c r="A289" i="1"/>
  <c r="A290" i="1"/>
  <c r="A291" i="1"/>
  <c r="A292" i="1"/>
  <c r="A293" i="1"/>
  <c r="A294" i="1"/>
  <c r="A295" i="1"/>
  <c r="A296" i="1"/>
  <c r="A297" i="1"/>
  <c r="A298" i="1"/>
  <c r="A299" i="1"/>
  <c r="A300" i="1"/>
  <c r="A301" i="1"/>
  <c r="A302" i="1"/>
  <c r="A303" i="1"/>
  <c r="A304" i="1"/>
  <c r="A305"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2" i="1"/>
</calcChain>
</file>

<file path=xl/sharedStrings.xml><?xml version="1.0" encoding="utf-8"?>
<sst xmlns="http://schemas.openxmlformats.org/spreadsheetml/2006/main" count="1803" uniqueCount="1586">
  <si>
    <t>id</t>
  </si>
  <si>
    <t>question</t>
  </si>
  <si>
    <t>ground_truth</t>
  </si>
  <si>
    <t>ifc_id</t>
  </si>
  <si>
    <t>category</t>
  </si>
  <si>
    <t>What is the total gross floor area of the building?</t>
  </si>
  <si>
    <t>The information is not directly available in the BIM model and cannot be exactly calculated. However, it is estimated that the total gross floor area of the building is around 350 sqm.</t>
  </si>
  <si>
    <t>What is the height of the ceiling in room A203?</t>
  </si>
  <si>
    <t>The height of the ceiling in room A203 is 2.58 m.</t>
  </si>
  <si>
    <t>Give me the name of all the rooms in the building.</t>
  </si>
  <si>
    <t>The names of the rooms in the building are: A101, A102, A103, A104, A105, A201, A202, A203, A204, A205, B101, B102, B103, B104, B105, B201, B202, B203, B204, B205 and R301.</t>
  </si>
  <si>
    <t>How many windows are there on the north facade?</t>
  </si>
  <si>
    <t>Information not available in the BIM model.
The number of windows on the north facade cannot be determined because the BIM model is not georeferenced.</t>
  </si>
  <si>
    <t>What is the width of the door 1hOSvn6df7F8_7GcBWlRGQ ?</t>
  </si>
  <si>
    <t>The width of the door with uuid 1hOSvn6df7F8_7GcBWlRGQ is 1.25 m.</t>
  </si>
  <si>
    <t>Are all internal doors compliant with accessibility requirements?</t>
  </si>
  <si>
    <t xml:space="preserve">No, not all internal doors are compliant with accessibility requirements.
</t>
  </si>
  <si>
    <t>What is the floor-to-floor height between the ground floor and first floor?</t>
  </si>
  <si>
    <t>The floor-to-floor height between the ground floor and the first floor is 3.1 m.</t>
  </si>
  <si>
    <t>This information is not available directly from the BIM model, so it cannot be calculated exactly. However, the total area of glazed windows can be estimated at around 66 sqm.</t>
  </si>
  <si>
    <t>How many rooms have access to outdoor space?</t>
  </si>
  <si>
    <t>There are four rooms that have access to the outdoors.</t>
  </si>
  <si>
    <t>What is the total length of water supply piping in the building?</t>
  </si>
  <si>
    <t>The total length of water supply piping in the building is 1,747.29 m.</t>
  </si>
  <si>
    <t>Where are the main electrical panels located?</t>
  </si>
  <si>
    <t>The main electrical panels are located in rooms A101 and B101.</t>
  </si>
  <si>
    <t>How many radiator are there in room A202?</t>
  </si>
  <si>
    <t>There are two radiators in room A202.</t>
  </si>
  <si>
    <t>Where are the boilers located?</t>
  </si>
  <si>
    <t>The boilers are located in the following spaces:
1. First boiler: M_Hot Water Boiler - 59-440 kW:147 kW:147 kW:530072 is located in space A205
2. Second boiler: M_Hot Water Boiler - 59-440 kW:147 kW:147 kW:557516 is located in space B205
Both boilers are identical hot water boiler units with 147 kW capacity, and they are located in what appear to be mechanical rooms or utility spaces A205 and B205.</t>
  </si>
  <si>
    <t>What is the capacity of the hot water tank?</t>
  </si>
  <si>
    <t>There is no water tank in the model. However, there is a hot water boiler with a heat output of 147 KW and a water flow rate of 0.51 m¬≥/s.</t>
  </si>
  <si>
    <t>Which rooms have thermostats installed?</t>
  </si>
  <si>
    <t>Based on the data, two thermostats are installed in the building:
- One thermostat is located in room A102.
- One thermostat is located in room B102.</t>
  </si>
  <si>
    <t>What type of heating system is used in the bathrooms?</t>
  </si>
  <si>
    <t>The bathrooms are heated using wall-mounted hydronic radiators that are connected to a central boiler system.</t>
  </si>
  <si>
    <t>Are the walls of room A203 load bearing?</t>
  </si>
  <si>
    <t>Room A203 has three wall types:
- Non-load-bearing interior partitions,
- A CMU party wall with potential structural function, and
- A likely load-bearing exterior brick wall.</t>
  </si>
  <si>
    <t>What is the depth of the foundation?</t>
  </si>
  <si>
    <t>The depth of the foundation is 300 mm.</t>
  </si>
  <si>
    <t>What is the specification of the concrete used in the ground floor slab?</t>
  </si>
  <si>
    <t>The ground floor slab is 127 mm thick and covers 64.78 sqm as an interior slab on grade. The concrete specification is not provided in the model.</t>
  </si>
  <si>
    <t>Are there any steel beams spanning the living room of Duplex B?</t>
  </si>
  <si>
    <t>No, there are no steel beams spanning the living room of Duplex B.</t>
  </si>
  <si>
    <t>What is the thickness of the external walls?</t>
  </si>
  <si>
    <t>The thickness of the external walls is 417 mm.</t>
  </si>
  <si>
    <t>What type of roof structure is used?</t>
  </si>
  <si>
    <t>The information is not available directly in the BIM model, so an exact answer is not possible. 
However, based on the geometry and materials of the roof components, we can describe it as a flat wood-joist structure.</t>
  </si>
  <si>
    <t>Which walls are the main structural ones?</t>
  </si>
  <si>
    <t>The information is not available directly in the BIM model, so an exact answer is not possible. 
However, based on the property of the walls found in the building, I could identify some structural walls that are likely to be the main ones: the exterior brick-on-block and concrete foundation walls.</t>
  </si>
  <si>
    <t>What is the live load capacity of the first floor?</t>
  </si>
  <si>
    <t>This information is not available in the BIM model.</t>
  </si>
  <si>
    <t>What is the fire rating of the internal doors?</t>
  </si>
  <si>
    <t>How many fire exits are there on each floor?</t>
  </si>
  <si>
    <t>The information is not directly available in the BIM model and cannot be exactly calculated. There are four exterior doors on the ground floor that could serve as fire exits, but their fire resistance is not specified.</t>
  </si>
  <si>
    <t>What is the distance from the furthest point to the nearest emergency exit?</t>
  </si>
  <si>
    <t>The information is not directly available in the BIM model and cannot be exactly calculated.
However, the estimated distance from the farthest point to the nearest emergency exit is around 22 meters.</t>
  </si>
  <si>
    <t>Where are the smoke detectors located?</t>
  </si>
  <si>
    <t>There are several smoke detectors are located in rooms A101, A202, A203, B101, B202, and B203.</t>
  </si>
  <si>
    <t>What type of fire suppression system is installed?</t>
  </si>
  <si>
    <t>There is no fire suppression system installed in the building.</t>
  </si>
  <si>
    <t>Are there fire-rated walls between different zones?</t>
  </si>
  <si>
    <t>The information is not directly available in the BIM model and cannot be exactly calculated. There may be fire-rated walls between different zones, but this is not clearly specified in the BIM model. For example, a CMU wall between the two units is present but is not explicitly identified as a firewall.</t>
  </si>
  <si>
    <t>What is the width of the emergency escape routes?</t>
  </si>
  <si>
    <t>The information is not directly available in the BIM model and cannot be exactly calculated, as the BIM model does not explicitly provide the width of the emergency escape routes. However, it can be inferred to be at least 864 mm based on the door widths in the hallway.</t>
  </si>
  <si>
    <t>Where are the fire extinguishers located?</t>
  </si>
  <si>
    <t>There are no fire extinguishers are present in the BIM model.</t>
  </si>
  <si>
    <t>What is the thickness of the insulation of the external walls?</t>
  </si>
  <si>
    <t>The external wall insulation is 50 mm thick.</t>
  </si>
  <si>
    <t>The external wall insulation is 42 mm thick.</t>
  </si>
  <si>
    <t>Which type of glazing is used in the windows?</t>
  </si>
  <si>
    <t>Is there a vapor barrier in the roof construction?</t>
  </si>
  <si>
    <t>Yes, the roof construction includes two vapor barriers.</t>
  </si>
  <si>
    <t>What type of insulation is used in the external walls?</t>
  </si>
  <si>
    <t>The external walls utilize 50 mm thick rigid insulation positioned between the air cavity and the concrete block.</t>
  </si>
  <si>
    <t>The insulation material is not explicitly defined in the BIM model. It is identified as an 'Insulated Panel' with a thickness of 42 mm.</t>
  </si>
  <si>
    <t>Are there any thermal bridges identified in the model?</t>
  </si>
  <si>
    <t>What is the air tightness rating of the building envelope?</t>
  </si>
  <si>
    <t>What is the solar heat gain coefficient of the windows?</t>
  </si>
  <si>
    <t>Where are the main utility shut-off valves located?</t>
  </si>
  <si>
    <t>The main utility shut-off valves are located in rooms A205 and B205.</t>
  </si>
  <si>
    <t>What is the maintenance schedule for the HVAC system?</t>
  </si>
  <si>
    <t>Which elements need regular maintenance?</t>
  </si>
  <si>
    <t>The information is not directly available in the BIM model.
However, we can identify several technical elements that usually need regular maintenance:
HVAC Equipment:
- Boilers are located in rooms A205 and B205.
- Fans: Two units in room R301.
- Pumps: Circulator pumps in rooms A205 and B205.
- Radiators: Distributed throughout both units in rooms A101‚ÄìA204 and B101‚ÄìB204.
Plumbing Fixtures:
- Water closets are located in rooms A104, A204, B104, and B204.
- Bathtubs are located in rooms A204 and B204.
- Shower stalls are located in rooms A104 and B104.
- Sinks are located in rooms A103 and B103.
- Lavatories are located in rooms A104, A204, B104, and B204.
- Valves are primarily located in rooms A205 and B205.
Electrical Systems:
- Light fixtures include both pendant and sconce lights in various rooms.
- Electrical panels are located in rooms A101 and B101.
- Smoke detectors are located in rooms A101, A202, A203, B101, B202, and B203.</t>
  </si>
  <si>
    <t>What is the expected lifespan of the roofing material?</t>
  </si>
  <si>
    <t xml:space="preserve">This information is not available in the BIM model. While the roof element has an 'ExpectedLife' property defined in its property sets, this property is empty and contains no actual lifespan value. The roofing material is identified as 'Roofing - EPDM Membrane' (Ethylene Propylene Diene Monomer), but the expected lifespan is not specified in the model. The BIM model contains the framework for lifespan information but the actual values have not been populated. However, we know that the expected lifespan of a roofing EPDM (ethylene propylene diene monomer) membrane is generally between 30 and 50 years, with some well-maintained installations lasting up to or beyond 50 years. </t>
  </si>
  <si>
    <t>The explicit lifespan of the roofing material is not specified in the BIM model. However, it is known that the roofing material is an EPDM (Ethylene Propylene Diene Monomer) membrane, typically lasting 25 to 30 years with proper maintenance.</t>
  </si>
  <si>
    <t>What is the warranty period for the installed windows?</t>
  </si>
  <si>
    <t>How many light fixtures are specified in the model?</t>
  </si>
  <si>
    <t>The model specifies 14 light fixtures, comprising 8 pendant lights and 6 sconce lights.</t>
  </si>
  <si>
    <t>What is the volume of concrete required for the foundation?</t>
  </si>
  <si>
    <t>The information is not directly available in the BIM model and cannot be exactly calculated. However, the estimated volume of concrete required for the foundation is around 16.528 cubic meters.</t>
  </si>
  <si>
    <t>What is the total length of skirting boards needed?</t>
  </si>
  <si>
    <t>How many square meters of flooring are required for each room?</t>
  </si>
  <si>
    <t>The information is not directly available in the BIM model and cannot be exactly calculated.
However, the flooring requirements for each room can be estimated  as follows:
Level 1:
- Living Room (A102/B102): 27.66 sqm each.
- Foyer (A101/B101): 15.59 sqm each.
- Kitchen (A103/B103): 12.95 sqm each.
- Bathroom 1 (A104/B104): 3.16 sqm each.
- Stair/Room (A105/B105): 3.80 sqm each.
Level 2:
- Bedroom 1 (A202/B202): 22.04 sqm each.
- Bedroom 2 (A203/B203): 22.04 sqm each.
- Bathroom 2 (A204/B204): 4.73‚Äì4.75 sqm each.
- Utility (A205/B205): approximately 1.41 sqm each.
- Hallway (A201/B201): negligible area.</t>
  </si>
  <si>
    <t>What is the total volume of insulation material needed?</t>
  </si>
  <si>
    <t>This information is not directly available in the BIM model and cannot be calculated exactly. However, it is estimated that approximately 13.7 m¬≥ of rigid insulation is required for the exterior walls and 10.1 m¬≥ for the roof.</t>
  </si>
  <si>
    <t>How many interior doors are there in this building?</t>
  </si>
  <si>
    <t>There are 10 interior doors in this building.</t>
  </si>
  <si>
    <t>What is the total area of wall surfaces requiring painting?</t>
  </si>
  <si>
    <t>The information is not directly available in the BIM model and cannot be exactly calculated. However, the total area of interior wall surfaces requiring painting can be estimated at around 398 m¬≥.</t>
  </si>
  <si>
    <t>What is the predicted annual energy consumption?</t>
  </si>
  <si>
    <t>Are there any renewable energy systems integrated into the design?</t>
  </si>
  <si>
    <t>There are no renewable energy systems integrated into the design.</t>
  </si>
  <si>
    <t>What is the water efficiency rating of the toilets?</t>
  </si>
  <si>
    <t>The water closets (toilets) in the model have a water efficiency rating of 6.1 Lpf (liters per flush).</t>
  </si>
  <si>
    <t>Which materials have recycled content?</t>
  </si>
  <si>
    <t>What is the embodied carbon of the structural elements?</t>
  </si>
  <si>
    <t>The information is not available in the BIM model and cannot be exactly calculated. However, we can estimate the embodied carbon of the structural elements in the BIM model to be around 466,787 kgCO2e.
Important Note about GWP Values: The Global Warming Potential (GWP) values of the individual materials are not explicitly stored in the BIM model. The calculation uses default carbon factors from an internal database to estimate the embodied carbon based on material volumes.
Assumptions Made in This Calculation:
Default Carbon Factors: Standard industry carbon factors were applied to each material type since they weren't specified in the model
Material Volumes: Calculated from the geometric properties of structural elements (IfcBeam, IfcColumn, IfcSlab, IfcWall)
Complete Material Coverage: All identified materials in structural elements were included in the calculation
Revit Export Assumptions: The calculation assumes standard property set structures typical of Revit-exported IFC models
Material Breakdown (kgCO2e):
Metal - Stud Layer: 321,304 kgCO2e (68.8% of total)
Masonry - Concrete Block: 66,585 kgCO2e (14.3% of total)
Masonry - Brick: 22,281 kgCO2e (4.8% of total)
Plasterboard: 22,912 kgCO2e (4.9% of total)
Concrete - Cast In Situ: 13,971 kgCO2e (3.0% of total)
Insulation - Rigid: 5,570 kgCO2e (1.2% of total)
Concrete: 5,765 kgCO2e (1.2% of total)
Wood - Sheathing - plywood: 3,616 kgCO2e (0.8% of total)
Wood - Dimensional Lumber: 3,616 kgCO2e (0.8% of total)
Wood - Flooring: 374 kgCO2e (0.1% of total)
Insulation - Semi-rigid: 187 kgCO2e (0.04% of total)
Masonry - Grout: 117 kgCO2e (0.03% of total)
Metal - Steel - 345 MPa: 488 kgCO2e (0.1% of total)
The results show that metal stud layers and masonry components contribute the majority (83.1%) of the embodied carbon in this building's structural elements.</t>
  </si>
  <si>
    <t>How much of the materials can be recycled at end-of-life?</t>
  </si>
  <si>
    <t>The information is not directly available in the BIM model and cannot be exactly calculated. 
However, a rough estimate suggests that a significant proportion of building materials‚Äîsuch as metals, concrete, and bricks‚Äîare highly recyclable, while materials like plasterboard, insulation, and mixed materials may have lower or uncertain recyclability rates.</t>
  </si>
  <si>
    <t>What is the total gross floor area of the dental clinic?</t>
  </si>
  <si>
    <t>The information is not directly available in the BIM model and cannot be exactly calculated. However, the total gross floor area of the dental clinic is estimated to be around 4,574 square meters.</t>
  </si>
  <si>
    <t>How many X-RAY rooms are there in total?</t>
  </si>
  <si>
    <t>There is 1 X-ray room (room 2A12).</t>
  </si>
  <si>
    <t>What is the ceiling height in treatment room 2A12?</t>
  </si>
  <si>
    <t>The ceiling height in treatment room 2A12 is 2.80 m.</t>
  </si>
  <si>
    <t>Can you give me the list of all room types?</t>
  </si>
  <si>
    <t>Based on the BIM model analysis, here is the complete list of all 29 room types found in the dental clinic:
1. Break Room (5 spaces)
2. Classroom (1 space)
3. Clean Room (2 spaces)
4. Conference Room (4 spaces)
5. Copy Room (1 space)
6. Corridor (40 spaces)
7. Dressing Room (2 spaces)
8. Electrical Room (5 spaces)
9. Elevator Shaft (1 space)
10. Entry Vestibule (1 space)
11. Equipment Room (4 spaces)
12. Hazardous Material Storage Space (3 spaces)
13. Kitchen (1 space)
14. Laboratory (4 spaces)
15. Mechanical Room (3 spaces)
16. Office (61 spaces)
17. Other General Facility Service Spaces (6 spaces)
18. Other Grooming Spaces (1 space)
19. Other Healing Spaces (35 spaces)
20. Other Transitional Circulation Spaces (3 spaces)
21. Physical Examination Room (6 spaces)
22. Reception Space (5 spaces)
23. Restroom (22 spaces)
24. Scanning/Imaging Room (6 spaces)
25. Soiled Storage Room Space (7 spaces)
26. Stairway (6 spaces)
27. Storage Room (23 spaces)
28. Treatment Room (2 spaces)
29. Waiting Room (9 spaces)
The model contains a total of 269 spaces with these 29 different room types. The most common room types are Office (61 spaces), Corridor (40 spaces), and Other Healing Spaces (35 spaces), which is consistent with a medical/dental facility layout.</t>
  </si>
  <si>
    <t>What is the width of the main entrance door?</t>
  </si>
  <si>
    <t>The width of the main entrance door is 1.8 m.</t>
  </si>
  <si>
    <t>Can you give me the list of each room available in house A?</t>
  </si>
  <si>
    <t>House A includes the following rooms: Foyer (A101), Living Room (A102), Kitchen (A103), Bathroom 1 (A104), Bedroom 1 (A202), Hallway (A201), Bedroom 2 (A203), Bathroom 2 (A204), and Utility (A205).</t>
  </si>
  <si>
    <t>How many rooms are there in house A?</t>
  </si>
  <si>
    <t>There are 10 rooms in house A.</t>
  </si>
  <si>
    <t>How many rooms are there in the clinic ?</t>
  </si>
  <si>
    <t>There are 269 rooms in the clinic.</t>
  </si>
  <si>
    <t>What is the total area of the sterilization rooms?</t>
  </si>
  <si>
    <t>The total area of the sterilization rooms is 25.4 sqm (rooms 2C12 'DIPC CLEAN' and 2C10 'DIPC DECON').</t>
  </si>
  <si>
    <t>What is the waiting room capacity ?</t>
  </si>
  <si>
    <t>The information is not directly available in the BIM model and cannot be exactly calculated.
However, assuming an occupancy rate between 0.9 and 1.5 sqm per person, the estimated capacities are:
- Central Waiting Area: approximately 125 to 200 people.
- Dental Waiting Area: approximately 30 to 50 people.</t>
  </si>
  <si>
    <t>What is the UFA ?</t>
  </si>
  <si>
    <t>The total usable floor area (UFA) is 2,981.73 sqm.</t>
  </si>
  <si>
    <t>What is the GFA ?</t>
  </si>
  <si>
    <t>The information is not directly available in the BIM model and cannot be exactly calculated.
However, the total gross floor area (GFA) is estimated to be around 5,077 sqm.</t>
  </si>
  <si>
    <t>What is the ratio of UFA to GFA?</t>
  </si>
  <si>
    <t>The information is not directly available in the BIM model and cannot be exactly calculated.
However, the ratio of usable floor area (UFA) to gross floor area (GFA) is estimated to be around 0.58.</t>
  </si>
  <si>
    <t>Can you give me the height of each window type?</t>
  </si>
  <si>
    <t>Based on the IFC model analysis, there are 4 unique window types with the following heights:
1. 2800mm x 2410mm windows: Height = 2410mm (2.41m) - 4 instances of this window type
2. 819mm x 759mm windows: Height = 759mm (0.76m) - 12 instances of this window type
3. 750mm x 2200mm windows: Height = 2200mm (2.20m) - 4 instances of this window type
4. 4835mm x 2420mm windows: Height = 2420mm (2.42m) - 2 instances of this window type
In total, there are 24 windows across these 4 different types. The window heights range from 759mm (for the smaller windows) to 2420mm (for the largest windows).</t>
  </si>
  <si>
    <t>How many square meters of storage space are available??</t>
  </si>
  <si>
    <t>The information is not directly available in the BIM model and cannot be exactly calculated.
However, the area of available storage space is estimated to be around 450 sqm. This includes 34 different storage areas, consisting of general storage rooms, soiled storage rooms, hazardous material storage spaces, and utility storage areas.</t>
  </si>
  <si>
    <t>What is the ratio of clinical to non-clinical space?</t>
  </si>
  <si>
    <t>The information is not directly available in the BIM model and cannot be exactly calculated.
However, the ratio of clinical to non-clinical space, based on usable area (excluding corridors, waiting areas, and offices), is estimated to be around 0.22.</t>
  </si>
  <si>
    <t>What is the average room height for the interation stations?</t>
  </si>
  <si>
    <t>The average room height for the interaction stations is 2.8 m.</t>
  </si>
  <si>
    <t>What is the fire rating of the walls between treatment rooms?</t>
  </si>
  <si>
    <t>What is the distance from treatment room 1E12 to the nearest emergency exit?</t>
  </si>
  <si>
    <t>The information is not directly available in the BIM model and cannot be exactly calculated.
However, the distance from treatment room 1E12 to the nearest emergency exit is estimated to be around 20 to 22 meters, following the path from 1E12 through 1E33, 1DC6, 1EC1, and finally to 1EC4.</t>
  </si>
  <si>
    <t>What is the distance from treatment room 1E23 to the nearest emergency exit?</t>
  </si>
  <si>
    <t>The information is not directly available in the BIM model and cannot be exactly calculated.
However, the distance from treatment room 1E23 to the nearest emergency exit is estimated to be around 6 to 9 meters, following the path from 1E23 through 1EC1 to 1EC4.</t>
  </si>
  <si>
    <t>Is there a server room?</t>
  </si>
  <si>
    <t>Yes, it appears that there is a server room designated as the "Computer Room" (Room 2D04A) on the second floor.</t>
  </si>
  <si>
    <t>Are there any reinforced areas for heavy medical equipment?</t>
  </si>
  <si>
    <t>There are no clearly identifiable reinforced areas for heavy medical equipment; the structural elements appear to be consistent throughout the building.</t>
  </si>
  <si>
    <t>What type of flooring is used in the sterilization room?</t>
  </si>
  <si>
    <t>What is the wall finishing material in treatment room 1D34?</t>
  </si>
  <si>
    <t>The wall finishing material in treatment room 1D34 is plasterboard.</t>
  </si>
  <si>
    <t>What type of ceiling system is installed in office areas?</t>
  </si>
  <si>
    <t>The office areas are equipped with an acoustic ceiling tile (ACT) system featuring 600 mm x 600 mm grid panels.</t>
  </si>
  <si>
    <t>How many square meters of specialty flooring are needed for the Labs?</t>
  </si>
  <si>
    <t>The information is not directly available in the BIM model and cannot be exactly calculated, as the labs are not clearly identified.
However, the specialty flooring required for the labs can be estimated at around 106 square meters. This includes 4 spaces identified as laboratories:
- 1B04: 53.59 m¬≤ (Laboratory function)
- 2C17: 30.56 m¬≤ (Laboratory)
- 2C16: 11.16 m¬≤ (Laboratory function)
- 1D12: 10.21 m¬≤ (Laboratory)</t>
  </si>
  <si>
    <t>What are the dimensions of the main steel columns?</t>
  </si>
  <si>
    <t>The structural model contains two types of steel wide flange columns with the following dimensions:
**W150X22.5 Columns:**
- Depth: 152 mm
- Width: 152 mm
- Web thickness: 5.8 mm
- Flange thickness: 6.6 mm
**W250X67 Columns:**
- Depth: 257 mm
- Width: 204 mm
- Web thickness: 8.9 mm
- Flange thickness: 15.7 mm
The W250X67 columns are the larger main structural columns, while the W150X22.5 columns are smaller secondary columns. These dimensions are from the PSet_Revit_Type_Dimensions property set in the IFC model.</t>
  </si>
  <si>
    <t>What is the sound transmission class (STC) rating between treatment rooms?</t>
  </si>
  <si>
    <t>The information is not directly available in the BIM model and cannot be exactly calculated, as the BIM model does not provide a direct measurement of the sound transmission class (STC) rating between treatment rooms. 
However, typical partition walls consisting of two 16-mm plasterboard panels and a 92-mm metal stud usually achieve an STC of 38 to 40 dB assuming the cavity is not filled with acoustic material.</t>
  </si>
  <si>
    <t>Are the interior walls load bearing?</t>
  </si>
  <si>
    <t>No, the interior walls are not load bearing.</t>
  </si>
  <si>
    <t>What is the structural concept of the building?</t>
  </si>
  <si>
    <t>The structural concept of the building is a steel frame with concrete slabs.</t>
  </si>
  <si>
    <t>Are the windows single or double glazed?</t>
  </si>
  <si>
    <t>The information is not directly available in the BIM model and cannot be exactly calculated, as the BIM model does not directly specify whether the windows are single or double glazed.
However, based on a 19 mm inset depth, they appear to be double glazed.</t>
  </si>
  <si>
    <t>How many sqm of office space is there in the building?</t>
  </si>
  <si>
    <t>The information is not directly available in the BIM model and cannot be exactly calculated, as the office spaces are not clearly identified.
However, the area of office space in the building can be estimated at around 675 square meters. This includes 38 spaces that are explicitly labeled as 'Office' in their function description.</t>
  </si>
  <si>
    <t>How many toilets room are there on the second floor?</t>
  </si>
  <si>
    <t>There are 8 toilet rooms on the second floor.</t>
  </si>
  <si>
    <t>What is the floor to floor height between the first and the second floor?</t>
  </si>
  <si>
    <t>The floor-to-floor height between the first and second floors is 4.57 m.</t>
  </si>
  <si>
    <t>What are the dimensions of the window with guid 0otfaO0qPDAhynjJ6DmgH8?</t>
  </si>
  <si>
    <t>The window with GUID 0otfaO0qPDAhynjJ6DmgH8 has a height of 1.735 m and a width of 1.0 m.</t>
  </si>
  <si>
    <t>What are the foundations made of?</t>
  </si>
  <si>
    <t>The foundations are made of cast-in-place reinforced concrete.</t>
  </si>
  <si>
    <t>Which rooms are connected to room 1B07?</t>
  </si>
  <si>
    <t>Room 1B07 is connected only to room 1BC2 (a corridor).</t>
  </si>
  <si>
    <t>Which rooms are adjacent to room 1B07?</t>
  </si>
  <si>
    <t>Rooms 1B09, 1BC2, 1B05, and 1B04 are adjacent to room 1B07.</t>
  </si>
  <si>
    <t>What is the size of the tech office on the second floor?</t>
  </si>
  <si>
    <t>The tech office on the second floor (room 2D18) has an area of 84.8 sqm.</t>
  </si>
  <si>
    <t>The volume of concrete required for the foundation is 167.61 m¬≥.</t>
  </si>
  <si>
    <t>How many bedrooms are there?</t>
  </si>
  <si>
    <t>There are 4 bedrooms in the building.</t>
  </si>
  <si>
    <t>How many steps does the stair in house A have?</t>
  </si>
  <si>
    <t>The stair in house A has 16 steps.</t>
  </si>
  <si>
    <t>How many sqm of tiles are there in the bathroom of house A?</t>
  </si>
  <si>
    <t>There are 9.50 square meters of tiles in the bathrooms of house A. 
This consists of: 
- Bathroom A204: 6.34 sqm of tiles 
- Bathroom A104: 3.16 sqm of tiles 
The calculation is based on the IFC model's finish quantity data for tile materials in these specific bathroom spaces.</t>
  </si>
  <si>
    <t>What is the GUID of the ceiling in the living room of house A?</t>
  </si>
  <si>
    <t>The GUID of the ceiling in the living room of house A is 3bXiCStxP6Fgxdej$yc50n.</t>
  </si>
  <si>
    <t>how many bathroom are there ?</t>
  </si>
  <si>
    <t>There are four bathrooms.</t>
  </si>
  <si>
    <t>how many windows are there in this building?</t>
  </si>
  <si>
    <t>There are 58 windows in this building.</t>
  </si>
  <si>
    <t>How many doors are there in this building?</t>
  </si>
  <si>
    <t>There are 254 doors in the building</t>
  </si>
  <si>
    <t>How many doorknobs are there in this house?</t>
  </si>
  <si>
    <t>The BIM model does not explicitly contain door knobs. However, there are 14 doors in the model. Assuming each door has 2 knobs (one for each side), there are approximately 28 door knobs in the house.</t>
  </si>
  <si>
    <t>How much tiling will I need to redo the flooring in all the bathrooms?</t>
  </si>
  <si>
    <t>To redo the flooring of all bathrooms, you will need approximately 18.85 square meters of tiling. This includes tiling for 4 bathrooms with the following areas: A204 (5.42 sqm), B104 (4.00 sqm), B204 (5.44 sqm), and A104 (4.00 sqm).</t>
  </si>
  <si>
    <t>What material are the external walls made of?</t>
  </si>
  <si>
    <t>The external walls of this building are primarily constructed with multiple layers:
1. An outer layer of masonry (brick) ‚Äì approximately 92 mm thick
2. An air space layer ‚Äì approximately 25 mm
3. An insulation layer (50 mm rigid insulation)
4. A masonry ‚Äì concrete block core ‚Äì approximately 193 mm
5. A metal stud layer (approximately 41 mm thick).
6. An inner layer of plasterboard (approximately 16 mm thick).</t>
  </si>
  <si>
    <t>Where are the scanning equipments located?</t>
  </si>
  <si>
    <t>The information is not directly available in the BIM model and cannot be exactly calculated. However, I found six rooms that could contain scanning equipment:
- 2A13: Scanning/Imaging Room 
- 2A12: Scanning/Imaging Room 
- 1C09: Scanning/Imaging Room 
- 1C16: Scanning/Imaging Room 
- 2A12A: Scanning/Imaging Room 
- 1B15: Scanning/imaging room</t>
  </si>
  <si>
    <t>First Floor:
Kitchen: 33.2 sq m
Space 4: 279.7 sq m
Total First Floor Area: 312.9 sq m
Second Floor:
Space 5: 197.4 sq m
Balkon: 116.1 sq m
Total Second Floor Area: 313.5 sq m
Third Floor:
Women's Room: 4.6 sq m
Men's Room: 3.7 sq m
Space 8: 179.8 sq m
Total Third Floor Area: 188.1 sq m
Roof: 201.7 sq m</t>
  </si>
  <si>
    <t>Kitchen: 33.2 sq m
Space 4: 279.7 sq m
Total First Floor Area: 312.9 sq m</t>
  </si>
  <si>
    <t>Space 5: 197.4 sq m
Balkon: 116.1 sq m
Total Second Floor Area: 313.5 sq m</t>
  </si>
  <si>
    <t>Women's Room: 4.6 sq m
Men's Room: 3.7 sq m
Space 8: 179.8 sq m
Total Third Floor Area: 188.1 sq m</t>
  </si>
  <si>
    <t>Based on the gross area data available in the model, the total gross floor area of the building is 814.5 m¬≤.</t>
  </si>
  <si>
    <t>What is the floor-to-floor height between levels?</t>
  </si>
  <si>
    <t>The floor-to-floor height between levels is:
- 01 First Floor to 02 Second Floor: 4.72 m
- 02 Second Floor to 03 Third Floor: 4.42 m
- 03 Third Floor to 04 Roof: 3.96 m
- 04 Roof to 05 TO Parapet: 0.91 m</t>
  </si>
  <si>
    <t>Door Types Used:
- Single-Flush: 36" x 84": 10 doors (59%)
- Single-Flush: 36" x 80": 4 doors (24%)
- Door_Elevator_2-Speed_Reed: 2 doors (12%)
- Double-Panel 1: 68" x 80": 1 door (6%) 
Total Doors: 17</t>
  </si>
  <si>
    <t>Window Types Used:
- Fixed: 36" x 72": 2 windows (67%)
- Archtop with Trim: 108" x 108": 1 window (33%)
Total Windows: 3</t>
  </si>
  <si>
    <t xml:space="preserve">Which type of glazing is used in the windows?
</t>
  </si>
  <si>
    <t>Information not available in the BIM model.</t>
  </si>
  <si>
    <t>What percentage of walls are load-bearing vs non-load-bearing?</t>
  </si>
  <si>
    <t>What walls are used in the building and what are they made of?</t>
  </si>
  <si>
    <t>What walls are used in the exterior of the building and what are they made of?</t>
  </si>
  <si>
    <t>What walls are used in the interior of the building and what are they made of?</t>
  </si>
  <si>
    <t>How much insulation material is needed for walls?</t>
  </si>
  <si>
    <t>What is the thickness of each wall type?</t>
  </si>
  <si>
    <t>The thickness of each wall type is:
- Basic Wall:Exterior - Brick on CMU: 0.49 m
- Basic Wall:Foundation - 12" Concrete: 0.30 m
- Basic Wall:Generic - 12": 0.30 m
- Basic Wall:Generic - 6": 0.15 m
- Basic Wall:Interior - 3 1/8" Partition (1-hr): 0.08 m</t>
  </si>
  <si>
    <t>What is the total length of exterior vs interior walls?</t>
  </si>
  <si>
    <t>Which door types have fire rating information?</t>
  </si>
  <si>
    <t>No door types found with fire rating information.</t>
  </si>
  <si>
    <t>Which window types have fire rating information?</t>
  </si>
  <si>
    <t>What is the average door width in the building?</t>
  </si>
  <si>
    <t>The average door width in the building is 0.99 m.</t>
  </si>
  <si>
    <t>What is the largest door width that is used in the building?</t>
  </si>
  <si>
    <t>The largest door width that is used in the building is 1.73 m.</t>
  </si>
  <si>
    <t xml:space="preserve">How many fire exits are there on each floor?
</t>
  </si>
  <si>
    <t>Information is not explicitely available in the BIM model, however potential fire exits are:
First Floor:
- Kitchen: 2 doors
- Space 4: 3 doors
Second Floor:
- Space 5: 2 doors</t>
  </si>
  <si>
    <t>Which rooms have direct access to outdoor spaces?</t>
  </si>
  <si>
    <t>These rooms have access to the outdoors spaces through doors:
First Floor:
- Kitchen
- Space 4
Second Floor:
- Space 5</t>
  </si>
  <si>
    <t>What stair types are used?</t>
  </si>
  <si>
    <t>The stair types used are: Stair:7" max riser 11" tread.</t>
  </si>
  <si>
    <t>FIRST FLOOR:
  1. Floor:Generic - 12"
     Volume: 109.60 cu m
     Thickness: 0.305 m
Level Total: 109.60 cu m (1 slab)
SECOND FLOOR:
  1. Floor:Generic - 12"
     Volume: 50.05 cu m
     Thickness: 0.305 m
  2. Floor:Generic - 12"
     Volume: 54.46 cu m
     Thickness: 0.305 m
  Level Total: 104.51 cu m (2 slabs)
THIRD FLOOR:
  1. Floor:Generic - 12"
     Volume: 59.80 cu m
     Thickness: 0.305 m
  Level Total: 59.80 cu m (1 slab)
TOTAL FLOOR SLAB VOLUME: 273.91 cu m</t>
  </si>
  <si>
    <t>What is the total volume of concrete used?</t>
  </si>
  <si>
    <t>What is the total volume of concrete used in walls?</t>
  </si>
  <si>
    <t>What is the total volume of concrete used in floor slabs?</t>
  </si>
  <si>
    <t>What is the total volume of concrete used in foundation?</t>
  </si>
  <si>
    <t>What is the total surface area of the facade?</t>
  </si>
  <si>
    <t>What furniture is in this building?</t>
  </si>
  <si>
    <t>The furniture types present are:
- Rectangular Table 68" x 30" (1 items)
- Rectangular Table 72" x 30" (3 items)
- Work Station Cubicle 96" x 96" (4 items)
- 35" Wide Base Cabinet (2 items)
- Reed Laboratory Table (3 items)</t>
  </si>
  <si>
    <t xml:space="preserve">What type of roof structure is used?
</t>
  </si>
  <si>
    <t xml:space="preserve">What is the structural concept of the building?
</t>
  </si>
  <si>
    <t>The list of all electrical components present in the building are:
1. Duplex Receptacle - Standard (113 items)
2. Recessed Lighting Fixture - 2'x2'(2 Lamp) - 120V (101 items)
3. Duplex Receptacle - GFCI (12 items)
4. Lighting Switch - Three Way (8 items)
5. Lighting Switch - Single Pole (4 items)
6. Lighting Switch - Four Way (3 items)
7. Lighting and Appliance Panelboard - 480V MCB - Surface (1 item)</t>
  </si>
  <si>
    <t>How many light switches are there?</t>
  </si>
  <si>
    <t>There are 15 light switches overall.</t>
  </si>
  <si>
    <t>What MEP systems are present in the building?</t>
  </si>
  <si>
    <t>The MEP systems present in the building are:
System Names:
- Default Return Air (micky)
- Default Supply Air (Pyro)
- Default Supply Air (Queen)
- Default Supply Air (micky)
System Types:
- Return Air
- Supply Air</t>
  </si>
  <si>
    <t>Which spaces have supply air and return air systems?</t>
  </si>
  <si>
    <t xml:space="preserve">What is the total length of water supply piping in the building?
</t>
  </si>
  <si>
    <t>The list of all plumbing fixtures present in the building are:
1. Toilet-Domestic-3D (9 items)
2. Sink Vanity-Round: 19" x 19" (6 items)
3. Urinal-Wall-3D (4 items)
4. Sink Kitchen-Double: 42" x 21" (2 items)</t>
  </si>
  <si>
    <t>What phasing information is available?</t>
  </si>
  <si>
    <t>Building Space Layout:
- Primary Function (offices): 65.0% - 33 rooms
- Support Systems: 11.0% - 13 rooms
- Amenities: 17.0% - 17 rooms
- Circulation: 9.0% - 15 rooms
- Storage: 8.0% - 13 rooms
- Other: 9.0% - 9 rooms
Total Building Area: 3616 sq m (100 spaces across 2 levels)</t>
  </si>
  <si>
    <t>Level 1 Space Layout:
- Primary Function (offices): 62.0% - 21 rooms
- Circulation: 17.0% - 10 rooms
- Support Systems: 15.0% - 9 rooms
- Amenities: 13.0% - 8 rooms
- Storage: 10.0% - 6 rooms
- Other: 10.0% - 6 rooms
Total Level 1 Area: 1808 sq m (60 spaces)</t>
  </si>
  <si>
    <t>Level 2 Space Layout:
- Primary Function (offices): 70.0% - 12 rooms
- Amenities: 22.5% - 9 rooms
- Storage: 17.5% - 7 rooms
- Circulation: 12.5% - 5 rooms
- Support Systems: 10.0% - 4 rooms
- Other: 7.5% - 3 rooms
Total Level 2 Area: 1808 sq m (40 spaces)</t>
  </si>
  <si>
    <t>How many types of offices are included in this building?</t>
  </si>
  <si>
    <t>3 office types are present in the building:
Open Offices: 8 spaces
- Level 1: 4 open office areas
- Level 2: 4 open office areas
Total open office area: 143.2 sq m
Private Offices: 33 spaces
- Level 1: 25 individual offices
- Level 2: 8 individual offices
Total private office area: 224.8 sq m
Conference Rooms: 9 spaces
- Level 1: 4 conference/meeting rooms
- Level 2: 5 conference/meeting rooms
Total conference room area: 22.5 sq m</t>
  </si>
  <si>
    <t>How many rooms exist on each floor?</t>
  </si>
  <si>
    <t>Level 1: 60 rooms
Level 2: 39 rooms</t>
  </si>
  <si>
    <t>Which room is the largest in the building?</t>
  </si>
  <si>
    <t>The largest room in the building is Open Office (203)
Area: 57.6 sq m
Level: Level 2</t>
  </si>
  <si>
    <t>Total Doors: 102
Door Types:
- M_Single-Flush:0915 x 2134mm: 87 doors (85%)
- M_Toilet Partition:0813 x 1525mm: 5 doors (5%)
- M_Double-Flush:1830 x 2083mm: 4 doors (4%)
- M_Toilet Partition:0915 x 1525mm: 4 doors (4%)
- M_Double-Flush:1830 x 2134mm: 2 doors (2%)</t>
  </si>
  <si>
    <t>Total Windows: 69
Window Types:
- M_Fixed:1220 x 1500: 65 windows
- M_Fixed:1000 x 1000: 2 windows
- M_Fixed:4000 x 1000: 1 windows
- M_Fixed:1000 x 2000: 1 windows</t>
  </si>
  <si>
    <t>What types of walls are used in the building?</t>
  </si>
  <si>
    <t>Exterior Wall Types:
- Basic Wall:Exterior - Brick on Mtl. Stud
- Basic Wall:Exterior - Insul Panel on Mtl. Stud</t>
  </si>
  <si>
    <t>Which walls are used internally?</t>
  </si>
  <si>
    <t>Interior Wall Types:
- Basic Wall:Interior - Furring (38 mm Stud)
- Basic Wall:Interior - Partition (92mm Stud)
- Basic Wall:Interior - Rated 1-HR (92mm Stud)
- Basic Wall:Interior - Toilet Partition (25mm)
- Basic Wall:Interior - Plumbing (152mm Stud)</t>
  </si>
  <si>
    <t>The total gross floor area of the building is 332.8 sq m.
Area by Level:
- Level 1: 167.3 sq m (50.3%)
- Level 2: 165.5 sq m (49.7%)</t>
  </si>
  <si>
    <t>The floor-to-floor height between levels is:
- Level 1 to level 2: 4.26 m
- Level 2 to Roof: 3.66 m</t>
  </si>
  <si>
    <t>Which materials are used for the walls?</t>
  </si>
  <si>
    <t>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</si>
  <si>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What materials are applied in the exterior walls?</t>
  </si>
  <si>
    <t>Exterior 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t>
  </si>
  <si>
    <t>What materials are applied in the interior walls?</t>
  </si>
  <si>
    <t>Interior Wall Material Compositions: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</si>
  <si>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Which materials are used in the ceilings?</t>
  </si>
  <si>
    <t>Ceiling Material Compositions:
Compound Ceiling:Gypsum Board:
  - Metal - Stud Layer: 0.045 m
  - Plasterboard: 0.012 m
Compound Ceiling:ACT 600 x 600mm Grid:
  - Default: 0.036 m
  - Ceiling Tile 600 x 600: 0.016 m</t>
  </si>
  <si>
    <t>What are the thicknesses of the different wall types?</t>
  </si>
  <si>
    <t>Wall Thicknesses by Type:
Basic Wall:Interior - Toilet Partition (25mm): Total = 0.025 m
Basic Wall:Interior - Furring (38 mm Stud): Total = 0.054 m
Basic Wall:Interior - Partition (92mm Stud): Total = 0.124 m
Basic Wall:Interior - Rated 1-HR (92mm Stud): Total = 0.124 m
Basic Wall:Interior - Plumbing (152mm Stud): Total = 0.184 m
Basic Wall:Exterior - Brick on Mtl. Stud: Total = 0.302 m
Basic Wall:Exterior - Insul Panel on Mtl. Stud: Total = 0.267 m</t>
  </si>
  <si>
    <t>What percentage of walls are load-bearing versus non-load-bearing?</t>
  </si>
  <si>
    <t>No load-bearing wall was found. All walls are non-load-bearing.</t>
  </si>
  <si>
    <t>What is the total area of wall surfaces that need painting?</t>
  </si>
  <si>
    <t>Total Furniture Items: 7
    Furniture Types:
    - M_Counter Top w Sink Hole:600mm Depth: 1 items
    - M_Counter Top:600mm Depth: 1 items
    - M_Vanity Cabinet-Double Door Sink Unit:1000mm: 5 items</t>
  </si>
  <si>
    <t>What is the total facade surface area?</t>
  </si>
  <si>
    <t>The total facade surface area is approximately 1690 sq m.</t>
  </si>
  <si>
    <t>The average door width is 0.96 m.</t>
  </si>
  <si>
    <t>Which door has the largest width in the building?</t>
  </si>
  <si>
    <t>The largest door width is 1.83 m.</t>
  </si>
  <si>
    <t>Total Stairs: 2
Total Stair Flights: 4
Stair Types:
- Stair</t>
  </si>
  <si>
    <t>What is the total volume of the floor slabs?</t>
  </si>
  <si>
    <t>Total volume of floor slabs is 410.76 cu m.</t>
  </si>
  <si>
    <t>Which coverings are applied throughout the building?</t>
  </si>
  <si>
    <t>Total Coverings: 83
Covering Types:
- Compound Ceiling:ACT 600 x 600mm Grid: 81 elements
- Compound Ceiling:Gypsum Board: 2 elements</t>
  </si>
  <si>
    <t>Which railings are installed in the building?</t>
  </si>
  <si>
    <t>Total Railings: 10
Railing Types:
- Railing: 10 elements</t>
  </si>
  <si>
    <t>Space Utilization by Function:
- Office: 145.5 sq m (43.7%)
- Other: 130.1 sq m (39.1%)
- Circulation: 26.9 sq m (8.1%)
- Conference/Meeting: 22.3 sq m (6.7%)
- Storage: 7.9 sq m (2.4%)</t>
  </si>
  <si>
    <t>Which door types include fire rating information?</t>
  </si>
  <si>
    <t>Which window types include fire rating information?</t>
  </si>
  <si>
    <t>No window types found with fire rating information.</t>
  </si>
  <si>
    <t>What is the ratio of circulation space to usable space?</t>
  </si>
  <si>
    <t>What are the MEP component counts per building level?</t>
  </si>
  <si>
    <t>MEP Components by Building Level:
   Level 1: 3021 total components
   - Ventilation: 988 components
   - Plumbing: 674 components
   - Electrical: 377 components
   - Fire Protection: 939 components
   - Heating: 43 components
   Level 2: 2518 total components
   - Ventilation: 741 components
   - Plumbing: 503 components
   - Electrical: 394 components
   - Fire Protection: 861 components
   - Heating: 19 components
   Roof: 46 total components
     - Ventilation: 2 (5.0%)
     - Plumbing: 44 (95.0%)</t>
  </si>
  <si>
    <t>Plumbing Controllers: 10 total
   Controller Types:
   - 50 mm: 9 units
   - 25 mm: 1 units
   Controllers by System:
   - Domestic Cold Water: 5 controllers
   - Domestic Hot Water: 3 controllers
   - Domestic Cold Water,Domestic Hot Water: 2 controllers</t>
  </si>
  <si>
    <t>Plumbing Pump (Moving Device): 1 total
   Device Types:
   - 3.9 LPS - 0.8 Meter Head - Domestic Hot Water: 1 units</t>
  </si>
  <si>
    <t>Plumbing System Components:
   - Segment: 1182 components
   - Fitting: 1158 components
   - Terminal: 80 components
   - Controller: 10 components
   - MovingDevice: 1 component
   - EnergyConversionDevice: 1 component</t>
  </si>
  <si>
    <t>Pipe Types by System:
    - Sanitary Piping: 540 segments
    - Domestic Cold Water Piping: 414 segments
    - Domestic Hot Water Piping: 228 segments
    Total Plumbing Pipe Segments: 1182</t>
  </si>
  <si>
    <t>Plumbing System Pipe Lengths:
    - Total plumbing pipe length: 575.28 meters
    - Total pipe segments: 591
    Pipe Lengths by System:
    - Sanitary: 283.91 m (49.4%)
    - Domestic Cold Water: 143.67 m (25.0%)
    - Domestic Hot Water: 147.70 m (25.7%)</t>
  </si>
  <si>
    <t>Plumbing Pipe Fittings: 1158 total
    Fitting Types Found:
    - Elbow - Generic: 586
    - Tee - Generic: 288
    - Transition - Generic: 260
    - 380 mm Strainer - 25 mm Drain: 24
    Fittings by System:
    - Sanitary: 514 fittings
    - Domestic Cold Water: 408 fittings
    - Domestic Hot Water: 236 fittings</t>
  </si>
  <si>
    <t>Total Valves Installed: 12
    Valve Types (by size):
    - 50 mm: 11
    - 25 mm: 1
    Valves by System Type:
    - Domestic Cold Water: 5 valves
    - Domestic Hot Water: 3 valves
    - Domestic Cold Water,Domestic Hot Water: 2 valves
    - Hydronic Return: 1 valves
    - Hydronic Supply: 1 valves</t>
  </si>
  <si>
    <t>Total IfcSanitaryTerminalType objects found: 8
Sanitary Equipment counts:
  - M_Lavatory - Oval:535 mmx485 mm - Public: 11 units
  - M_Water Closet - Flush Valve - Wall Mounted:Public - 6.1 Lpf: 10 units
  - M_Urinal - Wall Hung:25 mm Flush Valve: 5 units
  - M_Drinking Fountain - Rectangular - Wall Mounted:Standard: 4 units
  - M_Shower Stall - Rectangular:915 mmx915 mm - Public: 4 units
  - M_Shower Stall - Rectangular:915 mmx915 mm - Private: 3 units
  - M_Sink - Kitchen - Double:1065 mmx535 mm - Public: 2 units
  - M_Sink - Work:510 mmx455 mm: 1 unit
Total Sanitary Equipment Instances: 40</t>
  </si>
  <si>
    <t>How many plumbing fixtures serve each floor?</t>
  </si>
  <si>
    <t>Plumbing Fixtures by Building Level:
    Level 1: 21 fixtures
      - Public - 6.1 Lpf: 6
      - 535 mmx485 mm - Public: 6
      - 25 mm Flush Valve: 3
    Level 2: 19 fixtures
      - 535 mmx485 mm - Public: 5
      - Public - 6.1 Lpf: 4
      - 915 mmx915 mm - Public: 3
    Roof: 0 fixtures
    Total Building Plumbing Fixtures: 40</t>
  </si>
  <si>
    <t>Water Storage and Heating Systems:
    Water Storage Devices: 0
    Water Heating Equipment: 2
    - M_Screw Chiller - Air Cooled - 281-1231 kW:633-703 kW:633-703 kW:639187
      Type: 633-703 kW
    - M_Screw Chiller - Air Cooled - 281-1231 kW:633-703 kW:633-703 kW:639187
      Type: 633-703 kW
    Hot Water System Components: 518</t>
  </si>
  <si>
    <t>Water Heaters Found: 1
    - Name: M_Water Heater:380 L:380 L:708479
    - Type: 380 L
    - Electrical Load: 48.4 kW</t>
  </si>
  <si>
    <t>Ventilation System Components:
    - Fitting: 1642 components
    - Segment: 1284 components
    - Terminal: 490 components
    - MovingDevice (fan): 48 components</t>
  </si>
  <si>
    <t>Which cooling systems are installed?</t>
  </si>
  <si>
    <t>Cooling Systems Installed:
    Central Cooling Plant: 1 chiller unit(s)
    Chiller 1:
    - Name: M_Screw Chiller - Air Cooled - 281-1231 kW:633-703 kW:633-703 kW:639187
    - Type: 633-703 kW
    - Cooling Capacity: 2858 kW (9750 tons)
    - Chilled Water Flow: 0.39 L/s
    - Pressure Drop: 10570 Pa</t>
  </si>
  <si>
    <t>Which heating systems are installed?</t>
  </si>
  <si>
    <t>Heating Systems Installed:
    Hydronic Heating System: 118 components
    Heating System Types:
    - Hydronic Return: 60 components
    - Hydronic Supply: 58 components</t>
  </si>
  <si>
    <t>What are the capacities of the main HVAC equipment?</t>
  </si>
  <si>
    <t>HVAC Equipment Capacities:
    Cooling Equipment:
    - Chiller: 2858 kW cooling capacity
Air Moving Equipment (fans):
- 400 mm: 66.74472 L/s airflow
- 300 mm: 66.74472 L/s airflow
- 63300000 J: 390.050494 L/s return airflow, 29.629005 L/s supply airflow
- 991-1905 LPS: 99.163584 L/s airflow
- 350 mm: 66.74472 L/s airflow</t>
  </si>
  <si>
    <t>HVAC Terminal Airflow Rates:
    Total Terminals with Flow Data: 490
    Total Building Airflow: 4066.5 L/s (14639 m¬≥/h)
    Supply Air Terminals: 252
    Total Supply Airflow: 2091.3 L/s (7529 m¬≥/h)
    Average Supply Terminal: 8.3 L/s
    Return Air Terminals: 238
    Total Return Airflow: 1975.1 L/s (7111 m¬≥/h)
    Average Return Terminal: 8.3 L/s</t>
  </si>
  <si>
    <t>Air Terminal Types Installed:
    - 600 x 600 Face 300 x 300 Connection: 490 (100.0%)
    Terminal Distribution by System:
    - Supply Air Terminals: 252
    - Return Air Terminals: 238</t>
  </si>
  <si>
    <t>Ventilation System Ductwork Lengths:
    - Total ductwork length: 1569.99 meters
    - Total duct segments: 642
    Ductwork Lengths by System:
    - Supply Air: 860.04 m (54.8%)
    - Exhaust Air: 12.02 m (0.8%)
    - Return Air: 697.93 m (44.5%)</t>
  </si>
  <si>
    <t>Total Ventilation Duct Segments: 1284
Duct Types by Ventilation System:
    - Supply Air Ductwork: 766 segments
    - Return Air Ductwork: 514 segments
    - Exhaust Air Ductwork: 4 segments</t>
  </si>
  <si>
    <t>Ventilation Duct Fittings: 1642 total
    Fitting Types Found:
    - Rectangular Elbow - Mitered: 290
    - Rectangular Takeoff: 278
    - Rectangular to Round Transition - 45 Degree: 254
    - Rectangular Transition - 45 Degree: 242
    - Round Takeoff: 242
    - Round Elbow - 1 D: 220
    - Round Transition - 45 Degree: 100
    - Rectangular Transition - 60 Degree: 10
    - Rectangular Tee: 6
    Fittings by System:
    - Supply Air: 940 fittings
    - Return Air: 698 fittings
    - Exhaust Air: 4 fittings</t>
  </si>
  <si>
    <t>Ventilation Fans: 48 total
    Fan Types:
    - 400 mm: 34
    - 300 mm: 6
    - 63300000 J: 4
    - 991-1905 LPS: 2
    - 350 mm: 2
    Fans by System:
    - Supply Air: 42 fans
    - Power,Hydronic Return,Hydronic Supply,Return Air,Supply Air: 4 fans
    - Exhaust Air,Power: 2 fans</t>
  </si>
  <si>
    <t>Which types of coils are present in the building?</t>
  </si>
  <si>
    <t>No specific coil elements found in MEP model.</t>
  </si>
  <si>
    <t>Which types of dampers are used in the building?</t>
  </si>
  <si>
    <t>No specific damper elements found in MEP model.</t>
  </si>
  <si>
    <t>Which heat recovery units are installed in this building?</t>
  </si>
  <si>
    <t>No specific heat recovery units found in MEP model.</t>
  </si>
  <si>
    <t>Electrical Distribution Equipment:
    Transformers:
     - M_Transformer Switchboard, 120 V/208 V, Three Phase, 4 Wires: 2 units
    Distribution Panels:
    - M_Lighting and Appliance Panelboard - 208V MLO, 225 A: 6 units
Total Electrical Equipment: 8</t>
  </si>
  <si>
    <t>Electrical System Voltage Levels:
    - 120 V: 1740 loads (98.8%)
    - 208 V: 22 loads (1.2%)</t>
  </si>
  <si>
    <t>Lighting Fixtures Installed: 330
    Lighting Fixture Types:
    - M_Plain Recessed Lighting Fixture:600x1200 - 120: 269 (81.5%)
    - M_Plain Recessed Lighting Fixture:600x600 - 120: 47 (14.2%)
    - M_Pendant Light - Linear - 2400mm: 12 (3.6%)
    - M_Pendant Light - Linear - 1200mm: 2 (0.6%)</t>
  </si>
  <si>
    <t>Lighting Fixture Apparant Electrical Loads:
    - M_Plain Recessed Lighting Fixture:600x1200 - 120: 96 VA
    - M_Plain Recessed Lighting Fixture:600x600 - 120: 62 VA
    - M_Pendant Light - Linear - 2400mm: 150 VA
    - M_Pendant Light - Linear - 1200mm: 64 VA
    -Total Apparent Load: 30.7 kVA</t>
  </si>
  <si>
    <t>Electrical Receptacles: 441
    Receptacle Types:
    - Standard: 441 (100.0%)</t>
  </si>
  <si>
    <t>Electrical Switches: 99
    Switch Types:
    - Single Pole: 94 (94.9%)
    - Three Way: 5 (5.1%)</t>
  </si>
  <si>
    <t>Fire Protection Systems Installed:
    Fire Sprinkler System: 3600 components
    Fire Protection Components:
    - Fitting: 1626
    - Segment: 1390
    - Terminal: 584
    Sprinkler Head Types:
    - 15 mm Pendent: 584
    Fire Protection Coverage by Level:
    - Level 1: 724 components
    - Level 2: 666 components
    Total Fire Protection Components: 3600</t>
  </si>
  <si>
    <t>What is the structural system of the building?</t>
  </si>
  <si>
    <t>Which types of beams are used in the building?</t>
  </si>
  <si>
    <t>Column Types:
- M_W-Wide Flange-Column:W250X67: 80 columns</t>
  </si>
  <si>
    <t>Which materials are used for the structure?</t>
  </si>
  <si>
    <t>Structural Materials Used:
- Insulation / Thermal Barriers - Rigid insulation
- Metal - Steel - 345 MPa
- Structure - Steel Bar Joist Layer
- Roofing - EPDM Membrane
- Concrete - Cast In Situ
- Concrete - Cast in Situ Lightweight
- Concrete
- Metal - Decking
- Roofing - Metal</t>
  </si>
  <si>
    <t>What are the spans and sizes of the beams?</t>
  </si>
  <si>
    <t>Beam Spans:
- Average span: 6.8 m
- Maximum span: 11.7m
Beam Sizes:
- 14K1: 182 beams
- W460X60: 121 beams
- 12K3: 45 beams
- W360X44: 8 beams</t>
  </si>
  <si>
    <t>Which foundation system is used?</t>
  </si>
  <si>
    <t>What is the layout of the structural grid system?</t>
  </si>
  <si>
    <t>Grid System is regular grid with 40 unique grid intersections.</t>
  </si>
  <si>
    <t>Which elements carry structural loads and what are the load paths?</t>
  </si>
  <si>
    <t>Building Scale:
   - Total Gross Floor Area: 2248.8 sq m
   - Number of Levels: 4 storeys
   - Total Spaces: 140 spaces
   Building Program:
   - KG: 517.0 sq m
   - EG: 532.6 sq m
   - 1.OG: 673.0 sq m
   - 2.OG: 526.1 sq m</t>
  </si>
  <si>
    <t>Which software and modeling standards were applied?</t>
  </si>
  <si>
    <t>Modeling Standards:
   - IFC Schema: IFC4
   - File Format: Industry Foundation Classes (IFC)
   Originating Application:
   - Software: ARCHICAD-64
   - Version: 20.0.0
   - Developer: GRAPHISOFT</t>
  </si>
  <si>
    <t xml:space="preserve">   Building Configuration:
   - 10 modular buildings in linear formation
   - Each building has identical spatial configuration
   - 4-story residential units (KG, EG, 1.OG, 2.OG)
   Typical Building Layout (repeated 10 times):
   KG:
   - KELLERRAUM-1: Sonstige Nutzungen - 29.5 sq m
   - Kellerraum-2: Lagern, Verteilen und Verkaufen - 4.6 sq m
   - FLUR-1: Wohnen und Aufenthalt - 9.0 sq m
   Total KG Area: 43.1 sq m
   EG:
   - WOHNEN / KOCHEN-1: Wohnen und Aufenthalt - 34.5 sq m
   - WC-1: Wohnen und Aufenthalt - 1.8 sq m
   - Flur-1: Wohnen und Aufenthalt - 7.1 sq m
   Total EG Area: 43.4 sq m
   1.OG:
   - ZIMMER-1: Wohnen und Aufenthalt - 14.6 sq m
   - ZIMMER-2: Wohnen und Aufenthalt - 14.6 sq m
   - BAD / WC-1: Wohnen und Aufenthalt - 4.6 sq m
   - FLUR-3: Wohnen und Aufenthalt - 9.1 sq m
   Total 1.OG Area: 43.0 sq m
   2.OG:
   - ZIMMER-3: Wohnen und Aufenthalt - 14.6 sq m
   - ZIMMER-4: Wohnen und Aufenthalt - 14.6 sq m
   - BAD / WC-2: Wohnen und Aufenthalt - 3.8 sq m
   - FLUR-4: Wohnen und Aufenthalt - 9.9 sq m
   Total 2.OG Area: 43.0 sq m
   Typical Building Net Floor Area: 172.5 sq m
   TOTAL COMPLEX NET FLOOR AREA: 1725.2 sq m (10 identical buildings)
   Total Spaces: 140 spaces across 4 levels</t>
  </si>
  <si>
    <t>Typical 1.OG Level Layout (repeated 10 times):
   - ZIMMER-1: Wohnen und Aufenthalt - 14.6 sq m
   - ZIMMER-2: Wohnen und Aufenthalt - 14.6 sq m
   - BAD / WC-1: Wohnen und Aufenthalt - 4.6 sq m
   - FLUR-3: Wohnen und Aufenthalt - 9.1 sq m
   Total 1.OG Area: 43.0 sq m</t>
  </si>
  <si>
    <t>Typical 2.OG Level Layout (repeated 10 times):
   - ZIMMER-1: Wohnen und Aufenthalt - 14.6 sq m
   - ZIMMER-2: Wohnen und Aufenthalt - 14.6 sq m
   - BAD / WC-1: Wohnen und Aufenthalt - 4.6 sq m
   - FLUR-3: Wohnen und Aufenthalt - 9.1 sq m
   Total 1.OG Area: 43.0 sq m</t>
  </si>
  <si>
    <t>Typical EG Level Layout (repeated 10 times):
   - WOHNEN / KOCHEN-1: Wohnen und Aufenthalt - 34.5 sq m
   - WC-1: Wohnen und Aufenthalt - 1.8 sq m
   - Flur-1: Wohnen und Aufenthalt - 7.1 sq m
   Total EG Area: 43.4 sq m</t>
  </si>
  <si>
    <t>Typical KG Level Layout (repeated 10 times):
   - KELLERRAUM-1: Sonstige Nutzungen - 29.5 sq m
   - Kellerraum-2: Lagern, Verteilen und Verkaufen - 4.6 sq m
   - FLUR-1: Wohnen und Aufenthalt - 9.0 sq m
   Total KG Area: 43.1 sq m</t>
  </si>
  <si>
    <t>Which room in the building is the largest?</t>
  </si>
  <si>
    <t>WOHNEN / KOCHEN' rooms on the ground floor (EG) are generally the largest rooms in the model, with a Net Floor Area of 34.5 sq m.</t>
  </si>
  <si>
    <t>Total Gross Floor Area: 2248.8 sq m
   Area by Level:
   - KG: 517.0 sq m (23.0%)
   - EG: 532.6 sq m (23.7%)
   - 1.OG: 673.0 sq m (29.9%)
   - 2.OG: 526.1 sq m (23.4%)</t>
  </si>
  <si>
    <t>What are the heights of the individual levels?</t>
  </si>
  <si>
    <t>Level Heights found:
   - 1.OG: 2.53 m
   - 2.OG: 5.23 m
   - Dach: 7.93 m
   - EG: -0.25 m
   - KG: -2.81 m</t>
  </si>
  <si>
    <t>What furniture is present in the building?</t>
  </si>
  <si>
    <t>No furniture found in this building model</t>
  </si>
  <si>
    <t>Total Floor Slabs: 110
   Slab Types by Level:
   KG: 10 slabs total
   - Stahlbeton 2784800804 250: 10 slabs (100%)
   EG: 40 slabs total
   - Stahlbeton 2784800804 120: 20 slabs (50%)
   - Stahlbeton 2784800804 180: 10 slabs (25%)
   - Aluminium 587913947 98: 10 slabs (25%)
   1.OG: 30 slabs total
   - Stahlbeton 2784800804 120: 20 slabs (67%)
   - Stahlbeton 2784800804 180: 10 slabs (33%)
   2.OG: 30 slabs total
   - Stahlbeton 2784800804 120: 20 slabs (67%)
   - Stahlbeton 2784800804 180: 10 slabs (33%)</t>
  </si>
  <si>
    <t>Total KG Slabs: 10
   KG Slab Types:
   - Stahlbeton 2784800804 250: 10 slabs (100%)</t>
  </si>
  <si>
    <t>Total EG Slabs: 40
   EG Slab Types:
   - Stahlbeton 2784800804 120: 20 slabs (50%)
   - Stahlbeton 2784800804 180: 10 slabs (25%)
   - Aluminium 587913947 98: 10 slabs (25%)</t>
  </si>
  <si>
    <t>Total 1.OG Slabs: 30
   1.OG Slab Types:
   - Stahlbeton 2784800804 120: 20 slabs (67%)
   - Stahlbeton 2784800804 180: 10 slabs (33%)</t>
  </si>
  <si>
    <t>Total 2.OG Slabs: 30
   2.OG Slab Types:
   - Stahlbeton 2784800804 120: 20 slabs (67%)
   - Stahlbeton 2784800804 180: 10 slabs (33%)</t>
  </si>
  <si>
    <t>Slab Materials by Type:
   Aluminium 587913947 98:
   - Aluminium 587913947 0.0978148
   Stahlbeton 2784800804 120:
   - Stahlbeton 2784800804 0.12
   Stahlbeton 2784800804 180:
   - Stahlbeton 2784800804 0.18
   Stahlbeton 2784800804 250:
   - Stahlbeton 2784800804 0.25</t>
  </si>
  <si>
    <t>Total Roof Elements: 10
   Roof Types:
   - Aluminium 587913947 200</t>
  </si>
  <si>
    <t>Which materials are used in the roofs?</t>
  </si>
  <si>
    <t>Roof Materials by Type:
   Aluminium 587913947 200:
   - Aluminium 587913947 0.2</t>
  </si>
  <si>
    <t>Total Stairs: 30
   Total Stair Flights: 0
   Stair Types:
   - EG-Treppe: 10 stairs
   - OG-1-Treppe: 10 stairs
   - Kellertreppe: 8 stairs
   - Keller-Treppe: 2 stairs</t>
  </si>
  <si>
    <t>Structural System information is not explicitly available within the model. Based on available information, the structural system appears to be based on load-bearing wall construction.</t>
  </si>
  <si>
    <t>Structural Elements found:
   - Beams: 10 elements
   - Columns: 20 elements
   - Slabs: 120 elements
   Total Structural Elements: 150</t>
  </si>
  <si>
    <t>Beam Types:
   - I-SW-Eingang 100 x 150: 10 beams (100%)</t>
  </si>
  <si>
    <t>Column Types:
   - Stahl 269029580 D100: 20 columns (100%)</t>
  </si>
  <si>
    <t>Which MEP systems are installed in the building?</t>
  </si>
  <si>
    <t>Which lighting systems are implemented?</t>
  </si>
  <si>
    <t>Which HVAC systems serve the building?</t>
  </si>
  <si>
    <t>What components make up the heating system?</t>
  </si>
  <si>
    <t>Heating system information not available in this model.</t>
  </si>
  <si>
    <t>Which electrical systems are installed?</t>
  </si>
  <si>
    <t>Which plumbing systems are installed?</t>
  </si>
  <si>
    <t>Which fire protection systems are in place?</t>
  </si>
  <si>
    <t>What are the specified ventilation requirements?</t>
  </si>
  <si>
    <t>Building Type: Office Building
   Building Name: Buerogebaeude
   Total Levels: 5 floors</t>
  </si>
  <si>
    <t>Building Scale:
   - Number of Levels: 5
   - Building Footprint Area: 537 sq m
   - Total Floor Area: 2266.7 sq m
   - Total Rooms/Spaces: 82</t>
  </si>
  <si>
    <t>Building Spatial Layout Overview:
   Total Building Levels: 5 storeys
   Total Spaces: 82 spaces across all levels
   Total Net Floor Area: 1939.4 sq m
   Space Distribution by Level:
   - Keller: 17 spaces, 438.1 sq m
   - Erdgeschoss: 18 spaces, 442.1 sq m
   - 1. Obergeschoss: 22 spaces, 428.4 sq m
   - 2. Obergeschoss: 22 spaces, 428.4 sq m
   - Dachgeschoss: 3 spaces, 202.4 sq m
   Primary Space Functions:
   - OFFICE SPACES: 45 spaces (41.1%)
   - CIRCULATION &amp; COMMON AREAS: 13 spaces (27.3%)
   - MEETING &amp; CONFERENCE ROOMS: 3 spaces (9.1%)
   - LABORATORY SPACEs: 7 spaces (5.6%)
   - RESTROOMS &amp; SANITARY FACILITIES: 8 spaces (5.1%)
   -TECHNICAL &amp; MECHANICAL ROOMS: 4 spaces (4.4%)
   - SPECIALIZED: DACHBODEN: 2 spaces (7.2%)</t>
  </si>
  <si>
    <t>Basement Level (Keller): 17 spaces
   Total Area: 438.1 sq m
   Basement Level Spaces by Function:
   Besprechungsraum:
     - 001: 23.9 sq m
     - 002: 24.8 sq m
   Flur Keller Ost:
     - 017: 11.4 sq m
   Flur Keller Treppe:
     - 016: 45.6 sq m
   Flur Keller West:
     - 015: 34.3 sq m
   Labor:
     - 010: 12.0 sq m
     - 011: 12.0 sq m
     - 012: 12.0 sq m
     - 013: 12.0 sq m
     - 014: 11.1 sq m
   Seminarraum:
     - 006: 128.3 sq m
   Technikraum:
     - 003: 24.8 sq m
     - 004: 24.8 sq m
     - 005: 24.8 sq m
     - 007: 12.0 sq m
   WC Damen:
     - 009: 12.4 sq m
   WC Herren:
     - 008: 12.4 sq m</t>
  </si>
  <si>
    <t>Ground Level (Erdgeschoss): 18 spaces
   Total Area: 442.1 sq m
   Ground Level Spaces by Function:
   Buero Hausmeister:
     - 104: 12.4 sq m
   Buero Maier:
     - 111: 12.0 sq m
   Buero Mayer:
     - 109: 12.0 sq m
     - 110: 12.0 sq m
   Buero Mayr:
     - 107: 11.1 sq m
   Buero Meier:
     - 101: 11.1 sq m
   Buero Meyr:
     - 108: 12.0 sq m
   Buero Obermeier:
     - 115: 23.9 sq m
   Buero Studenten:
     - 105: 38.0 sq m
     - 106: 36.7 sq m
     - 114: 37.6 sq m
   Flur EG Eingang:
     - 117: 80.7 sq m
   Flur EG Ost:
     - 118: 34.3 sq m
   Flur EG West:
     - 116: 34.3 sq m
   Labor:
     - 102: 24.8 sq m
     - 103: 24.8 sq m
   WC Damen:
     - 113: 12.4 sq m
   WC Herren:
     - 112: 12.4 sq m</t>
  </si>
  <si>
    <t>First Level (1. Obergeschoss): 22 spaces
   Total Area: 428.4 sq m
   First Level Spaces by Function:
   Buero IL:
     - 207: 36.7 sq m
   Buero IL Sekr.:
     - 206: 24.8 sq m
   Buero Mueller:
     - 219: 11.1 sq m
     - 217: 12.0 sq m
     - 203: 24.8 sq m
     - 202: 24.8 sq m
     - 215: 12.0 sq m
     - 216: 12.0 sq m
     - 218: 12.0 sq m
   Buero Obermueller:
     - 201: 23.9 sq m
   Buero Oberschmitt:
     - 204: 24.8 sq m
   Buero Schmid:
     - 210: 12.0 sq m
   Buero Schmidt:
     - 211: 12.0 sq m
   Buero Schmied:
     - 209: 12.0 sq m
     - 208: 11.1 sq m
   Buero Schmitt:
     - 212: 12.0 sq m
     - 205: 12.0 sq m
   Flur 1.OG Ost:
     - 222: 34.3 sq m
   Flur 1.OG Treppe:
     - 221: 45.6 sq m
   Flur 1.OG West:
     - 220: 34.3 sq m
   WC Damen:
     - 214: 12.4 sq m
   WC Herren:
     - 213: 12.4 sq m</t>
  </si>
  <si>
    <t>Second Level (2. Obergeschoss): 22 spaces
   Total Area: 428.4 sq m
   Second Level Spaces by Function:
   Buero (17 spaces):
     - 301: 23.9 sq m
     - 302: 24.8 sq m
     - 303: 24.8 sq m
     - 304: 24.8 sq m
     - 305: 24.8 sq m
     - 306: 24.8 sq m
     - 307: 23.9 sq m
     - 308: 11.1 sq m
     - 309: 12.0 sq m
     - 310: 12.0 sq m
     - 311: 12.0 sq m
     - 312: 12.0 sq m
     - 315: 12.0 sq m
     - 316: 12.0 sq m
     - 317: 12.0 sq m
     - 318: 12.0 sq m
     - 319: 11.1 sq m
   Flur 2.OG Ost:
     - 322: 34.3 sq m
   Flur 2.OG Treppe:
     - 321: 45.6 sq m
   Flur 2.OG West:
     - 320: 34.3 sq m
   WC Damen:
     - 314: 12.4 sq m
   WC Herren:
     - 313: 12.4 sq m</t>
  </si>
  <si>
    <t>Attic Level (Dachgeschoss): 3 spaces
   Total Area: 202.4 sq m
   Attic Level Spaces:
   - 401: Flur 3.OG Treppe (60.2 sq m)
   - 402: Dachboden-1 (71.1 sq m)
   - 403: Dachboden-2 (71.1 sq m)</t>
  </si>
  <si>
    <t>What are the heights of each level?</t>
  </si>
  <si>
    <t>Building Level Information:
   - Keller:
     Elevation: -3.0 m
     Height: 3.0 m
   - Erdgeschoss:
     Elevation: 0
     Height: 3.0 m
   - 1. Obergeschoss:
     Elevation: 3.0 m
     Height: 3.0 m
   - 2. Obergeschoss:
     Elevation: 6.0 m
     Height: 3.0 m
   - Dachgeschoss:
     Elevation: 9.0 m
     Height: 3.0 m</t>
  </si>
  <si>
    <t>Largest Room: 006
   Function: Seminarraum
   Area: 128.3 sq m
   Level: Keller
   Height: 2.70 m</t>
  </si>
  <si>
    <t>Which two doors have the greatest widths in the building?</t>
  </si>
  <si>
    <t>What is the narrowest door width used here?</t>
  </si>
  <si>
    <t>Total Windows: 206
   Window Types and Quantities:
   - IFC Fenster - ein Panel: 206 windows (100.0%)</t>
  </si>
  <si>
    <t>What is the widest window in the building?</t>
  </si>
  <si>
    <t>Largest Window Width:
   1.0 m - IFC Fenster - ein Panel</t>
  </si>
  <si>
    <t>What is the narrowest window width used in this building?</t>
  </si>
  <si>
    <t>Smallest Window Width:
   0.9 m - IFC Fenster - ein Panel</t>
  </si>
  <si>
    <t>Which materials are used to construct the walls?</t>
  </si>
  <si>
    <t>What are the thicknesses of the various wall types?</t>
  </si>
  <si>
    <t>How many of the walls are load-bearing compared with non-load-bearing?</t>
  </si>
  <si>
    <t>Load-bearing classification data is not available in this model.</t>
  </si>
  <si>
    <t>Total Net Floor Area: 1939.4 sq m
   Net Floor Area by Level:
   - Keller: 438.1 sq m (22.6%)
   - Erdgeschoss: 442.1 sq m (22.8%)
   - 1. Obergeschoss: 428.4 sq m (22.1%)
   - 2. Obergeschoss: 428.4 sq m (22.1%)
   - Dachgeschoss: 202.4 sq m (10.4%)
   Area Comparison:
   - Gross Floor Area (from building levels): 2727.0 sq m
   - Net Floor Area (from spaces): 1939.4 sq m
   - Net-to-Gross Ratio: 71.1%</t>
  </si>
  <si>
    <t>Total Coverings: 0
   No Covering elements found in the model.</t>
  </si>
  <si>
    <t>Which ceiling materials are used in the building?</t>
  </si>
  <si>
    <t>Ceiling Elements Found: 21
   - Roof slabs (potential ceilings): 21
   - Ceiling coverings: 0
   Ceiling Materials:
   - Aluminium 131198</t>
  </si>
  <si>
    <t>Total Furniture Elements: 253
   Furniture Types (Including generic names):
   - Objekt-006: 81 items
   - Objekt-002: 65 items
   - Stuhl: 55 items
   - Schreibtisch: 50 items
   - Unknown Furniture: 2 items
   Furniture Types:
   - Labortisch: 2 items
   - Schreibtisch: 50 items
   - Stuhl: 55 items</t>
  </si>
  <si>
    <t>Which sanitary fixtures are available in this building?</t>
  </si>
  <si>
    <t>How many toilets exist on the ground floor?</t>
  </si>
  <si>
    <t>Toilet/WC spaces on ground floor (Erdgeschoss): 2
   Ground floor toilet spaces:
   - 113: WC Damen (12.4 sq m)
   - 112: WC Herren (12.4 sq m)</t>
  </si>
  <si>
    <t>Total Stairs: 4
   Stair Types and Quantities:
   - Treppe-KG: 1 stair(s)
   - Treppe-EG: 1 stair(s)
   - Treppe-1-OG: 1 stair(s)
   - Treppe-2-OG: 1 stair(s)
   Related Circulation Elements:
   - Railings: 12
   - Ramps: 0</t>
  </si>
  <si>
    <t>Floor Slabs Analysis:
   - Total floor slabs: 5
   - Total floor slab volume: 769.98 cu m
   Floor Slab Breakdown:
   - Decke-002:
     Volume: 154.80 cu m
     Area: 516.0 sq m
     Calculated Thickness: 300 mm
   - Decke-001:
     Volume: 156.42 cu m
     Area: 521.4 sq m
     Calculated Thickness: 300 mm
   - Decke-001:
     Volume: 158.52 cu m
     Area: 528.4 sq m
     Calculated Thickness: 300 mm
   - Decke-002:
     Volume: 150.12 cu m
     Area: 500.4 sq m
     Calculated Thickness: 300 mm
   - Decke-002:
     Volume: 150.12 cu m
     Area: 500.4 sq m
     Calculated Thickness: 300 mm</t>
  </si>
  <si>
    <t>Total Railings: 12
   Railing Types:
   - Gelaender-1-1: 1 railing(s)
   - Gelaender-1-2: 1 railing(s)
   - Gelaender-1-3: 1 railing(s)
   - Gelaender-2-1: 1 railing(s)
   - Gelaender-2-2: 1 railing(s)
   - Gelaender-2-3: 1 railing(s)
   - Gelaender-3-1: 1 railing(s)
   - Gelaender-3-3: 1 railing(s)
   - Gelaender-3-2: 1 railing(s)
   - Gelaender-4-1: 1 railing(s)
   - Gelaender-4-2: 1 railing(s)
   - Gelaender-4-3: 1 railing(s)</t>
  </si>
  <si>
    <t>Which rooms have the tallest ceilings?</t>
  </si>
  <si>
    <t>All rooms have a ceiling height of 2.70 m.</t>
  </si>
  <si>
    <t>Which types of doors include fire rating details?</t>
  </si>
  <si>
    <t>No door types have fire rating information in this model.</t>
  </si>
  <si>
    <t>Which windows have fire rating information?</t>
  </si>
  <si>
    <t>No window types have fire rating information in this model.</t>
  </si>
  <si>
    <t>Which structural components exist in this building?</t>
  </si>
  <si>
    <t>Structural Elements Summary:
   - Beams: 0 elements
   - Columns: 2 elements
   - Floor slabs: 5 elements
   - Roof slabs: 21 elements
   - Total structural slabs: 26 elements
   - Foundations: 0 elements
   - Structural members: 0 elements
   - Structural connections: 0 elements
   Total Structural Elements: 28</t>
  </si>
  <si>
    <t>Which beams are used in the building?</t>
  </si>
  <si>
    <t>No beam elements found in the model. This may indicate a flat slab construction system or wall-bearing structure.</t>
  </si>
  <si>
    <t>Total Columns: 2
   Column Types and Quantities:
   - Stahlbeton 2747937872 D200: 2 columns (100.0%)
   Column Materials (from type names):
   - Steel: 2 columns</t>
  </si>
  <si>
    <t>What are the sizes of the columns?</t>
  </si>
  <si>
    <t>Slab Type Overview:
   - Floor slabs: 5
   - Roof slabs: 21
   - Total slabs: 26
   FLOOR Slabs:
   - Decke-002: 3 slab(s)
     Thickness: 300 mm
   - Decke-001: 2 slab(s)
     Thickness: 300 mm
   ROOF Slabs:
   - Dach-001: 21 slab(s)
     Thickness range: 375 - 394 mm
     Average thickness: 380 mm
     Total area: 688.8 sq m
     Total volume: 261.93 cu m
   Overall Slab Thickness Statistics:
   - Total slabs with thickness data: 26
   - Thickness range: 300 - 394 mm
   - Average thickness: 365 mm</t>
  </si>
  <si>
    <t>Which roof structure elements are used?</t>
  </si>
  <si>
    <t>The roof is represented by 21 aluminium slabs that form the curved surface. In practice, these slabs would usually act as cladding elements rather than primary structural components. A complete structural roof system of this type would normally require supporting elements such as trusses, beams, etc to transfer loads to the main building structure. However, these supporting elements are not included in this model.
Roof Elements:
   - Roof slabs: 21
   Roof Structure Summary:
   - Total roof area: 688.8 sq m
   - Total roof volume: 261.93 cu m
   - Average roof thickness: 380 mm
   Roof Materials:
   - Aluminium 131198</t>
  </si>
  <si>
    <t>Which MEP systems are installed in this building?</t>
  </si>
  <si>
    <t>No explicit MEP systems found in this model.</t>
  </si>
  <si>
    <t>What types of pipes are used in the building?</t>
  </si>
  <si>
    <t>No Pipe segments or Pipe fittings were found in this model.</t>
  </si>
  <si>
    <t>Which heating systems are included in this building?</t>
  </si>
  <si>
    <t>No explicit heating system components found.</t>
  </si>
  <si>
    <t>Building Scale:
   - Total Architectural Elements: 49
   - Total Structural Elements: 46
   - Number of Levels: 2 storeys
   - Total Spaces: 7 defined spaces
   - Building footprint: 120 sq m</t>
  </si>
  <si>
    <t>Which software and standards were applied?</t>
  </si>
  <si>
    <t>Modeling Standards:
   - IFC Schema: IFC4
   - File Format: Industry Foundation Classes (IFC)
   Originating Application:
   - Software: ARCHICAD 20.0.0
   - Developer: GRAPHISOFT
   - IFC Add-on: IFC2x3 add-on version: 4009 GER FULL</t>
  </si>
  <si>
    <t>Attic Level (Dachgeschoss): 1 spaces
   Total Attic Floor Area: 74.5 sq m
   Attic Level Room Layout:
   - Room 7: Galerie (74.5 sq m, 4.0m height)</t>
  </si>
  <si>
    <t>Building Level Heights:
   Erdgeschoss:
   - Elevation: 0.00 m
   - Floor Height: 2.70 m
   - Gross Floor Area: 119.8 sq m
   Dachgeschoss:
   - Elevation: 2.70 m
   - Floor Height: 2.00 m
   - Gross Floor Area: 121.7 sq m
   Floor-to-Floor Heights:
   - Erdgeschoss to Dachgeschoss: 2.70 m</t>
  </si>
  <si>
    <t>Largest Room: Room 7
   Function: Galerie
   Area: 74.5 sq m
   Level: Dachgeschoss
   Height: 4.00 m
   Volume: 298.04 cu m</t>
  </si>
  <si>
    <t>Which three doors have the greatest widths in the building?</t>
  </si>
  <si>
    <t>Total Windows: 11
   Window Types and Quantities:
   - IFC Fenster - zwei Panele - Vertikal: 9 windows (81.8%)
   - Rundfenster 13: 2 windows (18.2%)
   Windows by Location:
   Ground Floor (EG): 9 windows
   Attic Floor (OG): 2 windows</t>
  </si>
  <si>
    <t>the Largest Window Width is 2000mm, which is used in:
   1. EG-Fenster-6 (IFC Fenster - zwei Panele - Vertikal)
   2. EG-Fenster-7 (IFC Fenster - zwei Panele - Vertikal)
   3. EG-Fenster-4 (IFC Fenster - zwei Panele - Vertikal)</t>
  </si>
  <si>
    <t>the Shortest Window Width is 1000mm, which is used in:
   1. OG-Fenster-2 (Rundfenster 13)
   2. OG-Fenster-1 (Rundfenster 13)
   3. EG-Fenster-6 (IFC Fenster - zwei Panele - Vertikal)</t>
  </si>
  <si>
    <t>What materials are specified for the exterior walls?</t>
  </si>
  <si>
    <t>What materials are specified for the interior walls?</t>
  </si>
  <si>
    <t>Wall Thicknesses by Type:
   - Leichtbeton 102890359 240: 240mm
   - Leichtbeton 102890359 300: 300mm</t>
  </si>
  <si>
    <t>Load-bearing classification fields exist but are not populated.
All walls have 'Tragende Funktion' property set to 'Nicht definiert' (Not defined).</t>
  </si>
  <si>
    <t>Total Net Floor Area: 173.3 sq m
   Net Floor Area by Level:
   - Erdgeschoss: 98.8 sq m (57.0%)
   - Dachgeschoss: 74.5 sq m (43.0%)</t>
  </si>
  <si>
    <t>Which coverings are applied inside the building?</t>
  </si>
  <si>
    <t>No Covering elements found in the model.</t>
  </si>
  <si>
    <t>Which materials are used for the ceilings?</t>
  </si>
  <si>
    <t>Ceiling Material Analysis:
   - Floor slabs (ceiling from below): 1 elements
   - Covering elements: 0 elements
   Ceiling Materials:
   - Solid 397409098</t>
  </si>
  <si>
    <t>What furniture items are present in the building?</t>
  </si>
  <si>
    <t>No furniture elements found in the model.</t>
  </si>
  <si>
    <t>Which sanitary fixtures and equipment are present in the building?</t>
  </si>
  <si>
    <t>No sanitary equipment found in this model.</t>
  </si>
  <si>
    <t>How many toilets are located on the ground floor?</t>
  </si>
  <si>
    <t>Toilet/Bathroom spaces on ground floor: 1
   Ground floor toilet/bathroom spaces:
   - Room 3: Bad (12.1 sq m)</t>
  </si>
  <si>
    <t>Which stair types are used in the building?</t>
  </si>
  <si>
    <t>Total Stairs: 1
   Stair 1: Wendeltreppe
   - Level: Erdgeschoss
   Related Circulation Elements:
   - Railings: 2
     - Railing 1 (Level: Dachgeschoss)
     - Railing 2 (Level: Dachgeschoss)</t>
  </si>
  <si>
    <t>Floor Slab Analysis:
   - Total floor slabs: 1
   - Slab-033: Thickness: 200mm
   - Total gross floor slab volume: 23.13 cu m
   - Total net floor slab volume: 19.97 cu m</t>
  </si>
  <si>
    <t>Which types of railings are installed?</t>
  </si>
  <si>
    <t>Total Railings: 2
   Railing 1: Railing 1
   - Level: Dachgeschoss
   - Materials: Solid
   Railing 2: Railing 2
   - Level: Dachgeschoss
   - Materials: Solid
   Railing Installation Summary:
   - Connected to stairs: 0 stair(s)
   - Primary location: Dachgeschoss level</t>
  </si>
  <si>
    <t>Which door types include fire rating data?</t>
  </si>
  <si>
    <t>Structural Elements Summary:
   - Beams: 4 elements
   - Columns: 0 elements
   - Members (roof structure): 42 elements
   - Slabs: 4 elements
     - Floor slabs: 1
     - Roof slabs: 2
     - Base/foundation slabs: 1
   - Foundations: 0 elements
   Total Structural Elements: 50</t>
  </si>
  <si>
    <t>Total Beams: 4
   Beam Types and Quantities:
   - Unterzug-1: 1 beams
   - Pfette-2-1: 1 beams
   - Pfette-1-1: 1 beams
   - First: 1 beams
   Beam Details:
   Beam: Unterzug-1
   - Level: Erdgeschoss
   - Length: 4.08 m
   - Width: 0.20 m
   - Depth: 0.24 m
   - CrossSectionArea: 0.048 sq m
   - Materials: Radial Gradient Fill 1515460218
   Beam: Pfette-2-1
   - Level: Dachgeschoss
   - Materials: Solid
   Beam: Pfette-1-1
   - Level: Dachgeschoss
   - Materials: Solid
   Beam: First
   - Level: Dachgeschoss
   - Materials: Solid</t>
  </si>
  <si>
    <t>Which column types are present in the building?</t>
  </si>
  <si>
    <t>No columns found in this building model.</t>
  </si>
  <si>
    <t>Slab Analysis: 4 total slabs
   Slab Classification:
   - FLOOR Slabs: 1
   - ROOF Slabs: 2
   - BASESLAB Slabs: 1
   FLOOR Slab Details:
   - Slab-033 (Level: Dachgeschoss)
     Thickness: 200mm
     Area: 115.6 sq m
     Volume: 23.13 cu m
     Materials: Solid 397409098
   ROOF Slab Details:
   - Dach-1 (Level: Dachgeschoss)
     Thickness: 200mm
     Area: 82.6 sq m
     Volume: 16.51 cu m
     Materials: Solid 397409098
   - Dach-2 (Level: Dachgeschoss)
     Thickness: 200mm
     Area: 82.6 sq m
     Volume: 16.51 cu m
     Materials: Solid 397409098
   BASESLAB Slab Details:
   - Bodenplatte (Level: Erdgeschoss)
     Thickness: 200mm
     Area: 120.0 sq m
     Volume: 24.00 cu m
     Materials: Stahlbeton 65690</t>
  </si>
  <si>
    <t>Which roof structural components are employed?</t>
  </si>
  <si>
    <t>Roof Structural Elements:
   - Roof Slabs: 2
     - Dach-1: 82.6 sq m, 200mm thick
     - Dach-2: 82.6 sq m, 200mm thick
   - Total Roof Area: 165.1 sq m
   - Total Roof Volume: 33.02 cu m
   - Roof Structural Members: 42
   Roof Member Types:
     - Sparren: 42 members
   - Roof Beams: 3
     - Pfette-2-1
     - Pfette-1-1
     - First
   Roof Structural System Summary:
   - Timber frame roof structure with 42 rafters (Sparren)
   - 2 concrete roof slab(s)
   - 3 ridge beam(s) and purlins (Pfetten)</t>
  </si>
  <si>
    <t>No MEP systems found in this building model.</t>
  </si>
  <si>
    <t>What types of piping are used throughout the building?</t>
  </si>
  <si>
    <t>No piping systems found in this building model.</t>
  </si>
  <si>
    <t>No heating systems found in this architectural model.</t>
  </si>
  <si>
    <t>No cooling systems found in this architectural model.</t>
  </si>
  <si>
    <t>What electrical components are present in the building?</t>
  </si>
  <si>
    <t>No electrical components found in this architectural model.</t>
  </si>
  <si>
    <t>Which construction phases are represented in the model?</t>
  </si>
  <si>
    <t>Construction Phases Found:
   - Bestand: 95 elements (100.0%)
   Phase Distribution by Element Type:
   Walls: 26 elements
     - Bestand: 26
   Doors: 5 elements
     - Bestand: 5
   Windows: 11 elements
     - Bestand: 11
   Slabs: 4 elements
     - Bestand: 4
   Structural: 46 elements
     - Bestand: 46
   Circulation: 3 elements
     - Bestand: 3</t>
  </si>
  <si>
    <t>Which elements correspond to renovation work versus existing construction?</t>
  </si>
  <si>
    <t>Construction Type Analysis:
   - Existing elements (Bestand): 95
   - Renovation elements: 0
   - New construction: 0
   - Demolition elements: 0
   Building Composition:
   - 100.0% existing construction
   - 0.0% other phases
   Element types that are entirely existing construction:
   - All walls are existing (Bestand)
   - All doors are existing (Bestand)
   - All windows are existing (Bestand)
   - All slabs are existing (Bestand)
   - All structural are existing (Bestand)
   - All circulation are existing (Bestand)</t>
  </si>
  <si>
    <t>What software and modeling standards were used?</t>
  </si>
  <si>
    <t>Modeling Standards:
   - IFC Schema: IFC2X3
   Originating Application:
   - Software: ArchiCAD 11.0
   - Developer: Graphisoft
   - Time Stamp: 2006-03-31T16:51:19</t>
  </si>
  <si>
    <t>Building Spatial Layout Overview:
   Total Building Levels: 5 storeys
   Total Spaces: 243 spaces across all levels
   Total Floor Area: 8491.3 sq m
   Space Distribution by Level:
   - kjeller: 9 spaces, 433.6 sq m
   - u.etg: 67 spaces, 3307.9 sq m
   - 1.etg: 57 spaces, 2753.8 sq m
   - 2.etg: 83 spaces, 1703.6 sq m
   - 3.etg: 27 spaces, 292.4 sq m</t>
  </si>
  <si>
    <t>Underground Level (kjeller): 9 spaces
   Total Area: 433.6 sq m
   Underground Level Spaces:
   - 70.001: Bruttoareal kjeller (226.3 sq m)
   - 80.005: Vent.rom (144.7 sq m)
   - 80.004: Hovedtavle (16.8 sq m)
   - 99.02.002: Trapp T02 (16.0 sq m)
   - 80.006: Telerom (14.1 sq m)
   - 80.003: Sluse (6.6 sq m)
   - 99.03.001: Heis (6.4 sq m)
   - 80.001: El (1.5 sq m)
   - 80.002: El (1.3 sq m)</t>
  </si>
  <si>
    <t>What are the level heights?</t>
  </si>
  <si>
    <t>Building Level Elevations:
   - kjeller: 20.3 m elevation
   - u.etg: 24.3 m elevation
     Floor-to-floor height from kjeller: 4.0 m
   - 1.etg: 28.3 m elevation
     Floor-to-floor height from u.etg: 4.0 m
   - 2.etg: 32.3 m elevation
     Floor-to-floor height from 1.etg: 4.0 m
   - 3.etg: 36.3 m elevation
     Floor-to-floor height from 2.etg: 4.0 m</t>
  </si>
  <si>
    <t>What is the largest room in the building?</t>
  </si>
  <si>
    <t>Largest Room: 70.002
   Function: Bruttoareal uetg
   Area: 1624.2 sq m
   Level: u.etg</t>
  </si>
  <si>
    <t>What are the top 5 largest door widths used in the building?</t>
  </si>
  <si>
    <t>Total Windows: 226
   Window Types and Quantities:
   - Vindusfelt: 56 windows (24.8%)
   - DV09T: 34 windows (15.0%)
   - DV08T: 34 windows (15.0%)
   - DV51T: 32 windows (14.2%)
   - DV14T: 13 windows (5.8%)
   - DV15T: 10 windows (4.4%)
   - DV01T: 10 windows (4.4%)
   - DV10T: 5 windows (2.2%)
   - DV16T: 4 windows (1.8%)
   - DV50T: 4 windows (1.8%)
   - DV03T: 4 windows (1.8%)
   - DV06T: 3 windows (1.3%)
   - DV13T: 2 windows (0.9%)
   - DV17T: 2 windows (0.9%)
   - DV04T: 2 windows (0.9%)
   - DV05T: 2 windows (0.9%)
   - DV11T: 2 windows (0.9%)
   - Del av VF: 2 windows (0.9%)
   - DV07T: 2 windows (0.9%)
   - DV12T: 1 window (0.4%)
   - LUKE: 1 window (0.4%)
   - Vent.rist: 1 window (0.4%)</t>
  </si>
  <si>
    <t>What are the top 5 largest window widths used in the building?</t>
  </si>
  <si>
    <t>Top 5 Largest Window Widths:
   1. 2030 mm - DV09T
   2. 1990 mm - DV14T
   3. 1990 mm - DV14T
   4. 1990 mm - DV15T
   5. 1990 mm - DV15T
   Window Width Statistics:
   - Width range: 490 - 2030 mm
   - Average width: 1765 mm</t>
  </si>
  <si>
    <t>What materials are used in the walls?</t>
  </si>
  <si>
    <t>What materials are used in the exterior walls?</t>
  </si>
  <si>
    <t>What materials are used in the interior walls?</t>
  </si>
  <si>
    <t>What is the thickness of different walls that are used?</t>
  </si>
  <si>
    <t>Total Net Floor Area: 8491.3 sq m
   Net Floor Area by Level:
   - kjeller: 433.6 sq m (5.1%)
   - u.etg: 3307.9 sq m (39.0%)
   - 1.etg: 2753.8 sq m (32.4%)
   - 2.etg: 1703.6 sq m (20.1%)
   - 3.etg: 292.4 sq m (3.4%)
   - Average space size: 34.9 sq m</t>
  </si>
  <si>
    <t>What coverings are used in the building?</t>
  </si>
  <si>
    <t>What materials are used in the ceilings?</t>
  </si>
  <si>
    <t>Total Furniture Elements: 23
   Furniture Types and Quantities:
   - Garderobeskap: 10 items
   - Cab Base 1D 10: 4 items
   - Overskap: 3 items
   - Cab Wall 1D 10: 3 items
   - Cab Base-MultiDrawer 10: 2 items
   - Refrigerator 10: 1 items
   Kitchen Furniture:
     - Cab Base 1D 10: 4 items
     - Cab Base-MultiDrawer 10: 2 items
     - Cab Wall 1D 10: 3 items
     - Refrigerator 10: 1 items
   Storage Furniture:
     - Garderobeskap: 10 items
     - Overskap: 3 items</t>
  </si>
  <si>
    <t>What furniture can be found in the staff room on the third floor?</t>
  </si>
  <si>
    <t>Furniture found in the staff room:
   - Cab Wall 1D 10 (3 items)
   - Cab Base 1D 10 (2 items)
   - Cab Base-MultiDrawer 10 (1 item)
   - Refrigerator 10 (1 item)</t>
  </si>
  <si>
    <t>What sanitary equipment can be found in this building?</t>
  </si>
  <si>
    <t>Total Sanitary Terminal Types: 11
   Sanitary Equipment Types:
   - Toilets: 2 type(s)
   - Basins: 4 type(s)
   - Showers: 2 type(s)
   - Sinks: 2 type(s)
   - Urinals: 1 type(s)</t>
  </si>
  <si>
    <t>How many toilets are there on the ground floor?</t>
  </si>
  <si>
    <t>Toilet/WC spaces on ground floor (u.etg): 12
   Ground floor toilet spaces:
   - 01.026: RWC
     Area: 5.5 sq m
   - 01.014: WC
     Area: 2.0 sq m
   - 01.015: WC
     Area: 2.0 sq m
   - 04.019: WC
     Area: 2.2 sq m
   - 04.020: WC/Dusj
     Area: 2.2 sq m
   - 01.018: WC
     Area: 1.5 sq m
   - 01.020: WC
     Area: 1.2 sq m
   - 01.019: WC
     Area: 1.2 sq m
   - 01.021: WC
     Area: 1.2 sq m
   - 01.011: WC
     Area: 1.2 sq m
   - 01.016: WC
     Area: 1.2 sq m
   - 01.017: WC
     Area: 1.2 sq m</t>
  </si>
  <si>
    <t>Total Stairs: 14
   Stair Types:
   - T01: 3 stair(s)
   - Trapp T02: 3 stair(s)
   - T04: 2 stair(s)
   - T03: 2 stair(s)
   - Trapp T02-K: 1 stair(s)
   - Trapp T07: 1 stair(s)
   - Trapp T06: 1 stair(s)
   - Trapp T05: 1 stair(s)</t>
  </si>
  <si>
    <t>Floor Slabs Analysis:
   - Total floor slabs: 285
   - Total floor slab volume: 2191.96 cu m
   - Volume range: 0.05 cu m to 197.46 cu m</t>
  </si>
  <si>
    <t>What railings are installed?</t>
  </si>
  <si>
    <t>Total Railings: 6
   Railing Types:
   - Rekkverk: 6 railing(s)</t>
  </si>
  <si>
    <t>What are the top 5 rooms with the highest ceiling heights?</t>
  </si>
  <si>
    <t>Rooms with highest ceiling height:
    1. 99.01.015 (Glassgata)
       Height: 14.48 m, Level: u.etg
    2. 99.01.002 (Korridor)
       Height: 10.77 m, Level: u.etg
    3. 80.029 (Sluse)
       Height: 6.32 m, Level: 3.etg
    4. 06.04.001 (Bro 1)
       Height: 4.54 m, Level: u.etg
    5. 70.001 (Bruttoareal kjeller)
       Height: 4.00 m, Level: kjeller</t>
  </si>
  <si>
    <t>What are the top 5 rooms with the lowest ceiling heights?</t>
  </si>
  <si>
    <t>Structural Elements Summary:
   - Beams: 86 elements
   - Columns: 208 elements
   - Floor slabs: 285 elements
   - Roof slabs: 78 elements
   - Total structural slabs: 363 elements
   - Foundations: 0 elements
   - Structural members: 0 elements
   Total Structural Elements: 657</t>
  </si>
  <si>
    <t>Total Beams: 86
   Beam Types and Quantities:
   - NO_VF HUP 100x100x6.3: 28 beams (32.6%)
   - Unnamed Beam: 23 beams (26.7%)
   - NO_THQ350x390: 9 beams (10.5%)
   - NO_VF HUP 150x100x6.3: 8 beams (9.3%)
   - NO_THQ350x270: 6 beams (7.0%)
   - NO_THQ200x265_Ensidig: 4 beams (4.7%)
   - Bjelke-01: 3 beams (3.5%)
   - NO_THQ350x390_ensidig: 3 beams (3.5%)
   - NO_VF HUP 100x200x10: 2 beams (2.3%)
   Steel Beams:
     - NO_VF HUP 100x100x6.3: 28 beams
     - NO_VF HUP 100x200x10: 2 beams
     - NO_VF HUP 150x100x6.3: 8 beams
   Concrete Beams:
     - NO_THQ350x270: 6 beams
     - NO_THQ350x390: 9 beams
     - NO_THQ200x265_Ensidig: 4 beams
     - NO_THQ350x390_ensidig: 3 beams</t>
  </si>
  <si>
    <t>Total Columns: 208
   Column Types and Quantities:
   - BS04: 142 columns (68.3%)
   - BS02: 38 columns (18.3%)
   - Unnamed Column: 11 columns (5.3%)
   - BS04 ARK: 8 columns (3.8%)
   - BS-skive: 6 columns (2.9%)
   - NO_VF HUP 40x40x4.0: 2 columns (1.0%)
   - BS-skive ARK: 1 columns (0.5%)</t>
  </si>
  <si>
    <t>What are the column dimensions?</t>
  </si>
  <si>
    <t>What are the slab types and thicknesses?</t>
  </si>
  <si>
    <t>What MEP systems are present in this building?</t>
  </si>
  <si>
    <t>What kind of pipes are used in this building?</t>
  </si>
  <si>
    <t>No Pipe Segment or Pipe Fitting elements found in this model.</t>
  </si>
  <si>
    <t>What is the total length of piping used in this building?</t>
  </si>
  <si>
    <t>What sanitary furniture are in room 01.014?</t>
  </si>
  <si>
    <t>Room 01.014 found:
   - Function: WC
   - Area: 2.0 sq m
   - Level: u.etg
   Available sanitary equipment:
     - Shower (1 item)
     - Toilet (1 item)
     - Basin (1 item)</t>
  </si>
  <si>
    <t>How many MEP components are there by system type?</t>
  </si>
  <si>
    <t>MEP Components by System Type:
   - Plumbing:
      - IfcFlowTerminal: 69 components</t>
  </si>
  <si>
    <t>What heating systems are installed?</t>
  </si>
  <si>
    <t>No Heating system found in this model.</t>
  </si>
  <si>
    <t>What cooling systems are installed?</t>
  </si>
  <si>
    <t>No Cooling system found in this model.</t>
  </si>
  <si>
    <t>What electrical components are present in this building?</t>
  </si>
  <si>
    <t>No Electrical components found in this model.</t>
  </si>
  <si>
    <t>Modeling Standards:
   - IFC Schema: IFC2X3
   - IFC Encoding Format: STEP
   Originating Application:
   - Software: ARCHICAD 25.0.0
   - IFC Add-on: 6000 INT FULL</t>
  </si>
  <si>
    <t>Level 6 (6. sal) Spatial Layout:
   - Rum nr. 602.1 (Skakt): 2.2 sq m
   Level 6 Total: 2.2 sq m</t>
  </si>
  <si>
    <t>What is the widest door used in the building?</t>
  </si>
  <si>
    <t>Wall Structural Function Distribution:
   - Load-Bearing Walls: 126 (66.7%)
   - Non-Load-Bearing Walls: 61 (32.3%)
   - Undefined Function: 2 (1.1%)</t>
  </si>
  <si>
    <t>What is the total length of exterior compared to interior walls?</t>
  </si>
  <si>
    <t>Wall Length Analysis:
   - Total Exterior Wall Length: 724.3m
   - Total Interior Wall Length: 888.0m
   - Total Combined Length: 1612.2m
   - Exterior vs Interior Ratio: 0.82:1</t>
  </si>
  <si>
    <t>What is the total net floor area of the building?</t>
  </si>
  <si>
    <t>Total Net Floor Area: 3430.6 sq m
   Based on 104 spaces with area data</t>
  </si>
  <si>
    <t>What is the ratio of net to gross floor area?</t>
  </si>
  <si>
    <t>Net/Gross ratio is 81.5%</t>
  </si>
  <si>
    <t>Which coverings are applied in the building?</t>
  </si>
  <si>
    <t>What furniture is present in this building?</t>
  </si>
  <si>
    <t>Which furniture items are in the kitchen on the ground floor?</t>
  </si>
  <si>
    <t>Kitchen Furniture on Ground Floor:
- Base Cabinet Block 25 (5 items)
- Cooktop + Oven Built-in 25
- Cabinet Base Double Door 21
- Refrigerator 25
Located in: Rum nr. S06</t>
  </si>
  <si>
    <t>Which sanitary fixtures are available in the building?</t>
  </si>
  <si>
    <t>How many toilets are on the ground floor?</t>
  </si>
  <si>
    <t>There are 3 toilets on the Ground Floor.</t>
  </si>
  <si>
    <t>How many toilets are on the fifth floor?</t>
  </si>
  <si>
    <t>There are 3 toilets on the Fifth Floor.</t>
  </si>
  <si>
    <t>Total Stair Elements: 579
   Stair Component Types:
   - Riser 25: 275 elements
   - Tread 25: 274 elements
   - [L]AF: 30 elements
   Stairs by Level:
   Grundplan: 135 stair components
   1. Sal: 80 stair components
   2. Sal: 80 stair components
   3. Sal: 160 stair components
   4. Sal: 80 stair components
   5. Sal: 44 stair components</t>
  </si>
  <si>
    <t>No fire rating information found for doors in this model</t>
  </si>
  <si>
    <t>Which window types have fire rating data?</t>
  </si>
  <si>
    <t>No fire rating information found for windows in this model</t>
  </si>
  <si>
    <t>Which slab types are used and what are their thicknesses?</t>
  </si>
  <si>
    <t>What types of pipes are used throughout the building?</t>
  </si>
  <si>
    <t>Piping information is not available in this model.</t>
  </si>
  <si>
    <t>What is the total length of piping in the building?</t>
  </si>
  <si>
    <t>Piping length data is not available in this model.</t>
  </si>
  <si>
    <t>Which sanitary furniture is present in room 110?</t>
  </si>
  <si>
    <t>Sanitary Equipment in Room 110:
   - WC 25
   - Basin 25</t>
  </si>
  <si>
    <t>How many MEP components exist by system type?</t>
  </si>
  <si>
    <t>MEP Components by System Type:
   - Sanitary/Plumbing: 84 components (93.3%)
   - Kitchen Equipment: 6 components (6.7%)</t>
  </si>
  <si>
    <t>How many MEP terminals serve each space?</t>
  </si>
  <si>
    <t>MEP Terminals per Space:
   Rum nr. 110: 2 terminals
   - WC 25
   - Basin 25
   Rum nr. 111: 2 terminals
   - WC 25
   - Basin 25
   Rum nr. 112: 2 terminals
   - WC 25
   - Basin 25
   Rum nr. 209: 2 terminals
   - WC 25
   - Basin 25
   Rum nr. 210: 2 terminals
   - WC 25
   - Basin 25
   Rum nr. 211: 2 terminals
   - WC 25
   - Basin 25
   Rum nr. 309: 2 terminals
   - WC 25
   - Basin 25
   Rum nr. 310: 2 terminals
   - WC 25
   - Basin 25
   Rum nr. 311: 2 terminals
   - WC 25
   - Basin 25
   Rum nr. 409: 2 terminals
   - WC 25
   - Basin 25
   Rum nr. 410: 2 terminals
   - WC 25
   - Basin 25
   Rum nr. 411: 2 terminals
   - WC 25
   - Basin 25
   Rum nr. 509: 2 terminals
   - WC 25
   - Basin 25
   Rum nr. 510: 2 terminals
   - WC 25
   - Basin 25
   Rum nr. 511: 2 terminals
   - WC 25
   - Basin 25
   Rum nr. K05: 2 terminals
   - WC 25
   - Basin 25
   Rum nr. K06: 2 terminals
   - WC 25
   - Basin 25
   Rum nr. K07: 2 terminals
   - WC 25
   - Basin 25
   Rum nr. S08: 2 terminals
   - WC 25
   - Basin 25
   Rum nr. S10: 2 terminals
   - WC 25
   - Basin 25
   Rum nr. S11: 2 terminals
   - WC 25
   - Basin 25</t>
  </si>
  <si>
    <t>Heating system information is not available in this model.</t>
  </si>
  <si>
    <t>Cooling system information is not available in this model.</t>
  </si>
  <si>
    <t>Electrical system information is not available in this model.</t>
  </si>
  <si>
    <t>Building Information:
   - Project Name: Synchro Project
   - Project Description: This project generated by Synchro Ifc Exporter
   - Building Name: Root Resource
   - Site/Location: Synchro Site</t>
  </si>
  <si>
    <t>Building Scale:
   - Total Architectural Elements: 3168
   - Total Structural Elements: 292
   - Number of Levels: 1 storey
   - Building Classification: Construction project model
   Building Program:
   - Storey-1: Primary building level
Note: Based on the information derived from the original modelling program, the building has 4 storeys. But in the IFC structure, all components were exported into a single IfcBuildingStorey.</t>
  </si>
  <si>
    <t>Modeling Standards:
   - IFC Schema: IFC2X3
   File Description:
   - SynchroSoftwareLtd Ifc 4D Exporter.
   Originating Application:
   - Software: Synchro 5.0.0.1 (inferred from project description)
   Software Analysis:
   - Synchro Software Ltd. construction management platform
   - ArchiCAD property integration evident</t>
  </si>
  <si>
    <t>Building Spatial Organization:
Note: Individual room/space data is not available in this model. But spatial layout based on building element distribution can be presented like this:
   Total Levels: 4
   00 begane grond: 805 total building elements
   - Walls: 382 elements
   - Windows: 20 elements
   - Doors: 35 elements
   01 eerste verdieping: 839 total building elements
   - Walls: 317 elements
   - Windows: 22 elements
   - Doors: 28 elements
   02 tweede verdieping: 613 total building elements
   - Walls: 202 elements
   - Windows: 13 elements
   - Doors: 23 elements
   03 derde verdieping: 487 total building elements
   - Walls: 125 elements
   - Windows: 12 elements
   - Doors: 18 elements</t>
  </si>
  <si>
    <t>Note: Individual room/space data is not available in this model. But spatial layout based on building element distribution can be presented like this:
00 begane grond: 805 building elements
   - Walls: 382 elements
     Types: separatiewand, metalstudwand, buitenblad
   - Windows: 20 elements
     Types: merk B1-R, merk B1sp-R, merk B1
   - Doors: 35 elements
     Types: D1L, D6L, merk E3-R...
   - Coverings: 252 elements
     Types: wandtegelwerk, gevelisolatie, vensterbank</t>
  </si>
  <si>
    <t>Note: Individual room/space data is not available in this model. But spatial layout based on building element distribution can be presented like this:
01 eerste verdieping: 839 building elements
   - Walls: 317 elements
     Types: separatiewand, buitenblad, HSB-element
   - Windows: 22 elements
     Types: merk B2-R, merk Lsp-R, merk B1-R...
   - Doors: 28 elements
     Types: D1L, D5R, D1R...
   - Coverings: 334 elements
     Types: vloertegelwerk, dakopstand, gevelisolatie...</t>
  </si>
  <si>
    <t>Note: Individual room/space data is not available in this model. But spatial layout based on building element distribution can be presented like this:
02 tweede verdieping: 613 building elements
   - Walls: 202 elements
     Types: binnenblad, buitenblad
   - Windows: 13 elements
     Types: merk C, merk Csp-R, merk C-R
   - Doors: 23 elements
     Types: D6L, merk H, D7L...
   - Coverings: 264 elements
     Types: wandtegelwerk, zinkwerk, gevelisolatie</t>
  </si>
  <si>
    <t>Note: Individual room/space data is not available in this model. But spatial layout based on building element distribution can be presented like this:
03 derde verdieping: 487 building elements
   - Walls: 125 elements
     Types: HSB-element, separatiewand, knieschot
   - Windows: 12 elements
     Types: merk Jsp, merk J, merk K...
   - Doors: 18 elements
     Types: D1L, D5R, merk A3sp...
   - Coverings: 216 elements
     Types: wandtegelwerk, zinkwerk, betontegels</t>
  </si>
  <si>
    <t>Room/space information is not available in this building model. The model contains building elements but no individual room definitions.</t>
  </si>
  <si>
    <t>Total Doors: 104
   Door Types:
   - D1R: 13 doors (12.5%)
   - D5L: 11 doors (10.6%)
   - D1L: 10 doors (9.6%)
   - D5R: 7 doors (6.7%)
   - D6L: 6 doors (5.8%)
   - D2R: 6 doors (5.8%)
   - D3L: 5 doors (4.8%)
   - merk H: 4 doors (3.8%)
   - merk A3sp: 4 doors (3.8%)
   - D2L: 4 doors (3.8%)
   - D3R: 4 doors (3.8%)
   - merk F-R: 4 doors (3.8%)
   - D8R: 3 doors (2.9%)
   - merk A3: 3 doors (2.9%)
   - D7L: 2 doors (1.9%)
   - merk E2-R: 2 doors (1.9%)
   - merk E5-R: 2 doors (1.9%)
   - merk E1-R: 2 doors (1.9%)
   - D4R: 2 doors (1.9%)
   - merk A4: 1 doors (1.0%)
   - D9L: 1 doors (1.0%)
   - merk E4-R: 1 doors (1.0%)
   - merk E3-R: 1 doors (1.0%)
   - merk A: 1 doors (1.0%)
   - merk A2sp: 1 doors (1.0%)
   - merk A5: 1 doors (1.0%)
   - merk A2: 1 doors (1.0%)
   - merk A6: 1 doors (1.0%)
   - merk A1sp: 1 doors (1.0%)</t>
  </si>
  <si>
    <t>What is the average width of doors in the building?</t>
  </si>
  <si>
    <t>Average Door Width: 1.150 m
Width range: 0.725 - 2.86 m</t>
  </si>
  <si>
    <t>Largest Door Width: 2.86 m
   Door Type: merk E4-R</t>
  </si>
  <si>
    <t>Total Windows: 67
   Window Types:
   - merk B1sp-R: 8 windows (11.9%)
   - merk B1: 7 windows (10.4%)
   - merk B1-R: 5 windows (7.5%)
   - merk Csp-R: 4 windows (6.0%)
   - merk G: 4 windows (6.0%)
   - merk B1sp: 4 windows (6.0%)
   - merk N: 4 windows (6.0%)
   - merk C-R: 3 windows (4.5%)
   - merk C: 3 windows (4.5%)
   - merk Csp: 3 windows (4.5%)
   - merk K: 3 windows (4.5%)
   - merk M: 3 windows (4.5%)
   - merk J: 2 windows (3.0%)
   - merk Dsp: 2 windows (3.0%)
   - merk Jsp: 2 windows (3.0%)
   - merk Ksp: 2 windows (3.0%)
   - merk L-R: 2 windows (3.0%)
   - merk B2-R: 2 windows (3.0%)
   - merk Lsp-R: 2 windows (3.0%)
   - merk D: 1 windows (1.5%)
   - merk B2sp: 1 windows (1.5%)</t>
  </si>
  <si>
    <t>Largest Window Width: 1.715 m
Window Type: merk G</t>
  </si>
  <si>
    <t>Which materials are applied in the exterior walls?</t>
  </si>
  <si>
    <t>Which materials are applied in the interior walls?</t>
  </si>
  <si>
    <t>What proportion of walls are load-bearing versus non-load-bearing?</t>
  </si>
  <si>
    <t>What are the heights of the building levels?</t>
  </si>
  <si>
    <t>Total Coverings: 1214
   Covering Types:
   - gevelisolatie: 307 coverings (25.3%)
   - betontegels: 231 coverings (19.0%)
   - zinkwerk: 188 coverings (15.5%)
   - wandtegelwerk: 111 coverings (9.1%)
   - afdekker: 98 coverings (8.1%)
   - vensterbank: 58 coverings (4.8%)
   - waterslag: 34 coverings (2.8%)
   - kantafwerking: 27 coverings (2.2%)
   - dakopstand: 22 coverings (1.8%)
   - vloertegelwerk: 20 coverings (1.6%)
   - buitenblad: 17 coverings (1.4%)
   - boeideel: 14 coverings (1.2%)
   - dakpan (vlak): 14 coverings (1.2%)
   - kantplank: 14 coverings (1.2%)
   - gootplafond: 12 coverings (1.0%)
   - wandtegelwerk+: 10 coverings (0.8%)
   - dakschroot: 8 coverings (0.7%)
   - dak dakkapel: 8 coverings (0.7%)
   - aftimmering: 6 coverings (0.5%)
   - dakisolatie: 3 coverings (0.2%)
   - gipsplafond: 3 coverings (0.2%)
   - plat dak: 2 coverings (0.2%)
   - isolatie: 2 coverings (0.2%)
   - plafond: 2 coverings (0.2%)
   - afschotisolatie: 2 coverings (0.2%)
   - muurafdekker: 1 coverings (0.1%)</t>
  </si>
  <si>
    <t>No ceiling-specific coverings identified in the model.</t>
  </si>
  <si>
    <t>Furniture information is not available in this building model.</t>
  </si>
  <si>
    <t>Surface area data is not directly available in the current property set.</t>
  </si>
  <si>
    <t>Total Stairs: 9
   Stair Types:
   - trappen: 6 stair elements
   - trapbordes: 3 stair elements</t>
  </si>
  <si>
    <t>Floor Slab Volumes by Level:
   - -1 fundering: 3.95 cubic units (1 floor slabs)
   - 00 begane grond: 140.99 cubic units (80 floor slabs)
   - 01 eerste verdieping: 123.98 cubic units (52 floor slabs)
   - 02 tweede verdieping: 99.30 cubic units (37 floor slabs)
   - 03 derde verdieping: 85.13 cubic units (48 floor slabs)
   - 04 dak: 31.31 cubic units (11 floor slabs)
   Total Floor Slab Volume: 484.66 cubic units</t>
  </si>
  <si>
    <t>Total Railings: 90
   Railing Types:
   - afscheiding: 49 railing elements
   - doorvalregel: 18 railing elements
   - traphek: 13 railing elements
   - leuning: 10 railing elements</t>
  </si>
  <si>
    <t>Which spaces have the tallest ceilings?</t>
  </si>
  <si>
    <t>Space/room information is not available in this building model.</t>
  </si>
  <si>
    <t>Door Types with Fire Rating:
   - merk H: 30 minuten brandwerend
   - merk A3sp: 30 minuten brandwerend en zelfsluitend
   - merk A3: 30 minuten brandwerend en zelfsluitend
   - merk A4: 30 minuten brandwerend en zelfsluitend
   - merk A: Zelfsluitend
   Total doors with fire rating: 5/104</t>
  </si>
  <si>
    <t>No window fire rating information available.</t>
  </si>
  <si>
    <t>What is the structural system of this building?</t>
  </si>
  <si>
    <t>Structural System Assessment:
   The structural system is not definitively determinable from this IFC model,
   however there are some indication of a load-bearing wall system.</t>
  </si>
  <si>
    <t>Total Beams: 174
   Beam Types:
   - fund_opstort: 39 beams
   - staallatei ??: 34 beams
   - fund_strook: 31 beams
   - stripstaal 80/8: 15 beams
   - HEA180: 12 beams
   - liftputwand: 11 beams
   - HEB220: 7 beams
   - hoeklijn bordes: 6 beams
   - staal halfspant: 4 beams
   - betonlatei: 4 beams
   - HEA220: 4 beams
   - geveldrager: 3 beams
   - L150/100/10 (?): 2 beams
   - fund_poer: 1 beams
   - staallatei: 1 beams</t>
  </si>
  <si>
    <t>Total Pipe Segments: 60
   Pipe Types:
   - hwa afvoer: 60 segments</t>
  </si>
  <si>
    <t>What is the total length of piping installed in this building?</t>
  </si>
  <si>
    <t>Pipe Length Analysis:
   - Total pipe segments: 60
   - Total pipe length: 83.36 m</t>
  </si>
  <si>
    <t>Total Columns: 23
   Column Types:
   - Buis vk warmgew kolom 18: 8 columns
   - HEB balk 18: 5 columns
   - HEA kolom 18: 1 columns
   - Buis ro warmgew kolom 18: 1 columns
   Column IDs:
   - balusters: 8 columns
   - K80/80/4: 8 columns
   - HEB220: 5 columns
   - HEA180: 1 columns
   - K152,4/12,5: 1 columns</t>
  </si>
  <si>
    <t>What are the dimensions of the columns?</t>
  </si>
  <si>
    <t>Column dimension information is not available in the current property set.</t>
  </si>
  <si>
    <t>What is the layout of the structural grid?</t>
  </si>
  <si>
    <t>Structural information is not available in this model.</t>
  </si>
  <si>
    <t>Which roof structural components are used?</t>
  </si>
  <si>
    <t>Structural information is not available in this model</t>
  </si>
  <si>
    <t>How many MEP components are there based on their type?</t>
  </si>
  <si>
    <t>Only limited MEP data available: 60 found pipe segments can be identified as a part of a plumbing system.</t>
  </si>
  <si>
    <t>No MEP terminals were found in the model.</t>
  </si>
  <si>
    <t>HVAC and electrical system information is not available.</t>
  </si>
  <si>
    <t>What type of building is this and where is it situated?</t>
  </si>
  <si>
    <t>Building Information:
   - Project Name: 2018_01
   - Building Name: DigitalHub
   - Site/Location: DH Liegenschaft
   Building Type Analysis:
   - Office building
   - 3-story structure with mixed-use spaces</t>
  </si>
  <si>
    <t>Building Scale:
   - Total Floor Area: 2842.1 sq m
   - Number of Levels: 3 storeys
   - Total Spaces: 64 spaces
   - Building Classification: Mid-rise office building
   Building Program:
   - Level B01_OKRD: Technical/basement level
   - Level E00_OKRD: Ground floor - public/commercial spaces
   - Level E01_OKRD: Upper floor - office/workspace areas</t>
  </si>
  <si>
    <t>Which software tools and modeling standards were applied?</t>
  </si>
  <si>
    <t>B01_OKRD (Basement Level):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t>
  </si>
  <si>
    <t>Largest Room: Eingangsbereich / Flur (1-1)
   Area: 383.6 sq m
   Level: E00_OKRD</t>
  </si>
  <si>
    <t>What are the dimensions and parking capacity of the lot?</t>
  </si>
  <si>
    <t>The gross area of the parking lot is 637.33 sq m. It has 26 available parking spaces.</t>
  </si>
  <si>
    <t>Installed in the parking lot are:
   - E-Ladestation - 03: Typ1: 13 stations
   - Anfahrschutz Rohr: 1000 x 700: 26 elements</t>
  </si>
  <si>
    <t>Total Windows: 47
   Window Types:
   - FE 3 tlg - DK-Fix im Rahmen-DK-2: 35 windows (74%)
   - FE 2 tlg - DK Fix mit Pfosten - 2: 8 windows (17%)
   - FE 1 tlg - DrehKipp: 4 windows (9%)</t>
  </si>
  <si>
    <t>Total Exterior Walls: 100
   Exterior Wall Types:
   - Basiswand:STB 200: 45 walls (45.0%)
   - Basiswand:STB 250: 25 walls (25.0%)
   - Basiswand:WD hart 200: 12 walls (12.0%)
   - Basiswand:Leichtbetonmauerwerk 250: 10 walls (10.0%)
   - Basiswand:STB 300: 4 walls (4.0%)
   - Basiswand:WD 200 + Luft 40 + Bekleidung 12: 4 walls (4.0%)</t>
  </si>
  <si>
    <t>Total Gross Floor Area: 2842.1 sq m
    Area by Level:
    - B01_OKRD: 558.1 sq m (19.6%)
    - E00_OKRD: 1156.9 sq m (40.7%)
    - E01_OKRD: 1127.1 sq m (39.7%)</t>
  </si>
  <si>
    <t>What are the heights of the ceilings?</t>
  </si>
  <si>
    <t>Ceiling Heights by Level:
    - B01_OKRD: 3.22 m
    - E00_OKRD: 3.90 m
    - E01_OKRD: 3.65 m</t>
  </si>
  <si>
    <t>Which materials are used in the interior walls?</t>
  </si>
  <si>
    <t>Ceiling Systems: 38 elements
    Ceiling Types:
    - Deckensystem: 38 elements</t>
  </si>
  <si>
    <t>What thicknesses do the different wall types have?</t>
  </si>
  <si>
    <t>How many walls are load-bearing compared with non-load-bearing?</t>
  </si>
  <si>
    <t>Wall Load-Bearing Classification:
    - Load-bearing walls: 0 (0.0%)
    - Non-load-bearing walls: 178 (100.0%)
    - Total classified: 178 of 178 walls</t>
  </si>
  <si>
    <t>Wall Lengths:
   - Total Exterior Walls: 1416.18 m
   - Total Interior Walls: 508.91 m
   - Total All Walls: 1925.09 m
   Distribution:
   - Exterior: 73.6%
   - Interior: 26.4%</t>
  </si>
  <si>
    <t>Which furniture items are located in the building?</t>
  </si>
  <si>
    <t>Average door width: 1.00 m
    Maximum door width: 1.64 m
    Minimum door width: 0.80 m
    Doors with width data: 62/64</t>
  </si>
  <si>
    <t>Largest door width: 1.64 m</t>
  </si>
  <si>
    <t>Total Stairs: 5
    Total Stair Flights: 10
    Stair Types:
    - Fertigbetontreppe: 4 stairs
    - Zusammengebaute Treppe: 1 stairs</t>
  </si>
  <si>
    <t>Floor Slabs: 14
    Floor Slab Types:
    - Geschossdecke: 14 slabs</t>
  </si>
  <si>
    <t>Total Coverings: 38
    Covering Types:
    - Deckensystem: 38 elements</t>
  </si>
  <si>
    <t>Which spaces have the tallest ceiling heights?</t>
  </si>
  <si>
    <t>Spaces by Ceiling Height (Top 10):
    - Aufzug Ost (400): 10.77 m
    - Aufzug West (300): 10.77 m
    - Schacht West 1 (301): 7.77 m
    - Schacht West 2 (302): 7.77 m
    - Schacht Ost 2 (402): 7.77 m
    - Schacht Ost 1 (401): 7.77 m
    - Flur - OG (2-1): 4.40 m
    - Treppenhaus West - EG (1-19): 3.90 m
    - Treppenhaus Ost - EG (1-17): 3.90 m
    - Eingangsbereich / Flur (1-1): 3.75 m</t>
  </si>
  <si>
    <t>Space Utilization by Function:
    - Other: 1105.1 sq m (38.9%)
    - Circulation: 909.2 sq m (32.0%)
    - Office: 594.8 sq m (20.9%)
    - Restroom: 93.6 sq m (3.3%)
    - Conference/Meeting: 86.4 sq m (3.0%)
    - Storage: 53.0 sq m (1.9%)</t>
  </si>
  <si>
    <t>Which types of doors include fire rating information?</t>
  </si>
  <si>
    <t>Fire rating information for doors not available in this model</t>
  </si>
  <si>
    <t>Which windows have fire rating data?</t>
  </si>
  <si>
    <t>Fire rating information for windows not available in this model</t>
  </si>
  <si>
    <t>Structural System: Reinforced Concrete Frame Construction
   Structural Elements:
   - Beams: 14 elements
   - Columns: 62 elements
   - Slabs: 23 elements
   - Members: 80 elements
   - Roof Elements: 3 elements
   - Plates: 25 elements
   Total Structural Elements: 207</t>
  </si>
  <si>
    <t>What materials are used for the structural system?</t>
  </si>
  <si>
    <t>Information not available in BIM model
   Beam span and sizing information requires structural analysis data</t>
  </si>
  <si>
    <t>Information not available in BIM model
   Foundation system details not included in architecture file</t>
  </si>
  <si>
    <t>Total Slabs: 23
   Slab Types:
   - Geschossdecke:FB 150 leer: 6 slabs (26.1%)
   - Massivtreppenpodest:Podest 180: 4 slabs (17.4%)
   - Sohle:Sohle 1 mm: 3 slabs (13.0%)
   - Geschossdecke:STB 250: 2 slabs (8.7%)
   - Geschossdecke:STB 220: 2 slabs (8.7%)
   - Geschossdecke:WD 200 hart: 2 slabs (8.7%)
   - Bodenplatte:STB 300: 1 slabs (4.3%)
   - Podest (nicht massiv):Podest (nicht massiv): 1 slabs (4.3%)
   - Geschossdecke:FB 100 leer: 1 slabs (4.3%)
   - Geschossdecke:STB 200 + WD 200: 1 slabs (4.3%)
   Slab Thickness Information:
   - Geschossdecke:STB 250:2396591: 250mm thickness</t>
  </si>
  <si>
    <t>Based on the structural elements available in the model, the structural system is most probably flat slab structures with reinforced concrete columns and slabs. Therefore, the structural grid can be derived based on the placement of columns.</t>
  </si>
  <si>
    <t>Load Bearing Elements:
   - Load bearing beams: 14/14
   - Load bearing columns: 62/62
   - Total load bearing elements: 76
   Load Path:
   Typical reinforced concrete frame load path:
   Vertical loads transfer: Slabs ‚Üí Beams ‚Üí Columns ‚Üí Foundations</t>
  </si>
  <si>
    <t>Total Structural Concrete Volume: 1641.47 cu m
    Elements with volume data: 94
    Volume by Element Type:
    - Beams: 10.76 cu m
    - Columns: 18.52 cu m
    - Slabs: 1612.18 cu m</t>
  </si>
  <si>
    <t>Total Members: 80
    Member Types:
    - Rechteckiger Pfosten:60 x 120: 54 members (67.5%)
    - Rechteckiger Pfosten:Standard 100-30-25: 14 members (17.5%)
    - Stair Stringer: 8 members (10.0%)
    - Rechteckiger Pfosten:Standard L 100-30-25: 2 members (2.5%)
    - Rechteckiger Pfosten:Standard R 100-30-25: 2 members (2.5%)</t>
  </si>
  <si>
    <t>Structural efficiency should be determined through detailed structural analysis. However, based on the data available in this model, the efficiency of the structural system can be summarized as follows:
    System Type: Reinforced Concrete Frame
    - Efficient for mid-rise construction
    - Good for office/commercial building use
    Element Ratios:
    - Beam to total ratio: 14.1%
    - Column to total ratio: 62.6%
    - Slab to total ratio: 23.2%
    Building Characteristics:
    - 3-story structure with systematic layout
    - Regular structural grid (inferred from column distribution)
    - Integrated MEP coordination
    Efficiency Rating: Good structural system for building type and use</t>
  </si>
  <si>
    <t>Heating System Components:
   - Pipe Segments (914)
   - Pipe Fittings (743)
   - Valves (65)
   - Space Heaters/Radiators (63)
   - Pumps (5)
   - Tanks (2)
   - Temperature Sensors (2)
   - Unitary Equipment (1)
   Total Heating Components: 1795</t>
  </si>
  <si>
    <t>What is the total length of pipe used in the heating system?</t>
  </si>
  <si>
    <t>Total Pipe Length: 1207377.10 m
   Pipe Length by Building Level:
   - Unknown Level: 1207377.10 m (100.0%)</t>
  </si>
  <si>
    <t>Pipe Types Used:
   - Copper (Unknown Diameter): 914 segments, 1207377.10 m total length</t>
  </si>
  <si>
    <t>Heating Sensor Types:
   - Temperature Sensor: 2 sensors (100.0%)
   Sensors by Building Level:
   Ebene: B01_OKFB: 2 sensors
     - Temperature Sensor: 2</t>
  </si>
  <si>
    <t>Radiator Types:
   - Panel Radiator: 63 radiators (100.0%)
   Radiators by Building Level:
   Ebene: E00_OKFB: 29 radiators
     - Panel Radiator: 29
   Ebene: E01_OKFB: 34 radiators
     - Panel Radiator: 34</t>
  </si>
  <si>
    <t>Pump Types:
   - Inline Pump: 4 pumps (80.0%)
   - Double Pump: 1 pumps (20.0%)
   Pumps by Building Level:
   Ebene: B01_OKFB: 5 pumps
     - Double Pump: 1
     - Inline Pump: 4</t>
  </si>
  <si>
    <t>Tank Types:
   - Water Heater Storage Tank: 1 tanks (50.0%)
   - Expansion Tank: 1 tanks (50.0%)
   Tanks by Building Level:
   Ebene: B01_OKFB: 2 tanks
     - Expansion Tank: 1
     - Water Heater Storage Tank: 1</t>
  </si>
  <si>
    <t>Unitary Equipment Types:
    - Heat Pump Water Heater: 1 units (100.0%)
    Unitary Equipment by Building Level:
    Ebene: B01_OKFB: 1 units
      - Heat Pump Water Heater: 1</t>
  </si>
  <si>
    <t>What is the total heating capacity of all radiators?</t>
  </si>
  <si>
    <t>Heating capacity information not available in this model</t>
  </si>
  <si>
    <t>Heating Systems: 42 systems
    System Types:
    System Categories:
    - Transport Systems: 38 systems
    - Heat Pump Systems: 2 systems
    - Heat Exchange Systems: 2 systems</t>
  </si>
  <si>
    <t>Plumbing System Components:
   - Pipe Segments (504)
   - Pipe Fittings (411)
   - Sanitary Terminals (72)
   - Instantaneous Water Heaters (16)
   - Valves (3)
   - Waste Terminals (2)
   - Water Filters (1)
   - Flow Meters (1)
   Total Plumbing Components: 1010</t>
  </si>
  <si>
    <t>What is the total length of pipe used in the plumbing system?</t>
  </si>
  <si>
    <t>Total Pipe Length: 301106.02 m
   Pipe Length by Building Level:
   - Unknown Level: 301106.02 m (100.0%)</t>
  </si>
  <si>
    <t>Pipe Types Used:
   - Edelstahl - Pressfitting: 294 segments, 115774.34 m total length
   - Kupfer - Pressfittings: 2 segments, 63.00 m total length
   - Wastewater HT Pipe: 208 segments, 185268.67 m total length</t>
  </si>
  <si>
    <t>Valve Types:
   - Backflow Preventer: 1 valves (33.3%)
   - Angle Seat Valve: 1 valves (33.3%)
   - Pressure Reducing Valve: 1 valves (33.3%)
   Valves by Building Level:
   Ebene: B01_OKFB: 3 valves
     - Angle Seat Valve: 1
     - Backflow Preventer: 1
     - Pressure Reducing Valve: 1</t>
  </si>
  <si>
    <t>Water Heater Types:
   - Instantaneous Water Heater (3 kW): 16 units (100.0%)
   Water Heaters by Building Level:
   Ebene: E00_OKFB: 10 units
     - Instantaneous Water Heater (3 kW): 10
   Ebene: E01_OKFB: 6 units
     - Instantaneous Water Heater (3 kW): 6</t>
  </si>
  <si>
    <t>Waste Terminal Types:
   - Roof Drain (DN 70): 2 terminals (100.0%)
   Waste Terminals by Building Level:
   Ebene: E02_OKDach: 2 terminals
     - Roof Drain (DN 70): 2</t>
  </si>
  <si>
    <t>Filter Types:
   - Backwash Filter (DN 25): 1 filters (100.0%)
   Filters by Building Level:
   Ebene: B01_OKFB: 1 filters
     - Backwash Filter (DN 25): 1</t>
  </si>
  <si>
    <t>Plumbing Systems: 19 systems
    System Types:
    - Hot Water Distribution (PWH): 16 systems
    - Cold Water Distribution (PWC): 1 systems
    - Wastewater Collection: 1 systems
    - Rainwater Collection: 1 systems
    System Categories:
    - Hot Water Distribution: 16 zones
    - Cold Water Supply: 1 system
    - Wastewater Collection: 1 system
    - Rainwater Drainage: 1 system</t>
  </si>
  <si>
    <t>What is the total electrical load of water heaters?</t>
  </si>
  <si>
    <t>Total Water Heater Load: 48.0 kW
    Average per Unit: 3000 W
    Water heaters with load data: 16/16
    Electrical Load by Building Level:
    - Ebene: E00_OKFB: 30.0 kW (62.5%)
    - Ebene: E01_OKFB: 18.0 kW (37.5%)</t>
  </si>
  <si>
    <t>How many plumbing fixtures serve each type of space?</t>
  </si>
  <si>
    <t>Plumbing fixture distribution by space type is not available in this model, however, plumbing fixtures data for each building storey are available:
    - Total sanitary terminals: 72
    - Total water heaters: 16
    - Average terminals per level: 24.0
    - Average water heaters per level: 5.3
    Note: Detailed space-by-space fixture analysis requires coordination
    with architecture file space definitions</t>
  </si>
  <si>
    <t>How many plumbing fixtures serve each building storey?</t>
  </si>
  <si>
    <t>Plumbing Fixtures by Building Storey:
    Ebene: E00_OKFB: 56 fixtures (62.2%)
      - Sanitary terminals: 46
      - Water heaters: 10
    Ebene: E01_OKFB: 32 fixtures (35.6%)
      - Sanitary terminals: 26
      - Water heaters: 6
    Ebene: E02_OKDach: 2 fixtures (2.2%)
      - Sanitary terminals: 0
      - Water heaters: 0
      - Waste terminals: 2
    Total Fixtures: 90</t>
  </si>
  <si>
    <t>Ventilation System Components:
   - Duct Segments (595)
   - Duct Fittings (538)
   - Air Terminals (148)
   - Dampers (18)
   - Fans (2)
   - Coils (2)
   - Air Filters (2)
   - Duct Silencers (2)
   - Heat Recovery Units (1)
   - Humidifiers (1)
   - Interceptors (1)
   Total Ventilation Components: 1310</t>
  </si>
  <si>
    <t>What is the total length of ductwork used in the ventilation system?</t>
  </si>
  <si>
    <t>Total Ductwork Length: 88788.58 m
   Ductwork Length by Building Level:
   - B01_OKFB: 7597.95 m (8.6%)
   - E00_OKFB: 1508.64 m (1.7%)
   - E01_OKFB: 567.50 m (0.6%)
   - E01_UKAHD: 43329.37 m (48.8%)
   - E02_OKRD: 157.33 m (0.2%)
   - E02_UKAHD: 35613.20 m (40.1%)
   - E02_UKRD: 14.59 m (0.0%)</t>
  </si>
  <si>
    <t>Air Terminal Types:
   - Slot Diffuser (Exhaust Air): 74 terminals (50.0%)
   - Slot Diffuser (Supply Air): 68 terminals (45.9%)
   - Drallauslass Zuluft seitlich: 3 terminals (2.0%)
   - Rectangular Deflector Hood (Discharge): 1 terminals (0.7%)
   - Rectangular Deflector Hood (Outside Air): 1 terminals (0.7%)
   - Luftauslass_Kueche: 1 terminals (0.7%)
   Air Terminals by Building Level:
   E00_OKRD: 35 terminals
     - Slot Diffuser (Supply Air): 35
   E01_OKRD: 113 terminals
     - Air Outlet: 1
     - Rectangular Deflector Hood (Discharge): 1
     - Rectangular Deflector Hood (Outside Air): 1
     - Slot Diffuser (Exhaust Air): 74
     - Slot Diffuser (Supply Air): 33
     - Swirl Air Terminal: 3</t>
  </si>
  <si>
    <t>Damper Types:
   - Fire Damper: 13 dampers (72.2%)
   - Relief Damper (AHU Chamber): 5 dampers (27.8%)
   Dampers by Building Level:
   B01_OKRD: 7 dampers
     - Fire Damper: 2
     - Relief Damper (AHU Chamber): 5
   E01_OKRD: 11 dampers
     - Fire Damper: 11</t>
  </si>
  <si>
    <t>Fan Types:
   - Centrifugal Fan (Backward Inclined): 2 fans (100.0%)
   Fans by Building Level:
   B01_OKRD: 2 fans
     - Centrifugal Fan (Backward Inclined): 2</t>
  </si>
  <si>
    <t>Coil Types:
   - Water Heating Coil: 1 coils (50.0%)
   - Water Cooling Coil: 1 coils (50.0%)
   Coils by Building Level:
   B01_OKRD: 2 coils
     - Water Cooling Coil: 1
     - Water Heating Coil: 1</t>
  </si>
  <si>
    <t>Filter Types:
   - F7 Air Particle Filter: 2 filters (100.0%)
   Filters by Building Level:
   B01_OKRD: 2 filters
     - F7 Air Particle Filter: 2</t>
  </si>
  <si>
    <t>Heat Recovery Unit Types:
    - Rotary Heat Recovery Wheel: 1 units (100.0%)
   Heat Recovery Units by Building Level:
   B01_OKRD: 1 units
     - Rotary Heat Recovery Wheel: 1</t>
  </si>
  <si>
    <t>Ventilation Systems: 4 systems
    System Types:
    - Discharge Air (Fortluft): 1 system
    - Supply Air (Zuluft): 1 system
    - Exhaust Air (Abluft): 1 system
    - V_Aussenluft: 1 system
    System Functions:
    - Discharge Air: Treated exhaust air discharge to outside
    - Supply Air: Fresh air supply to occupied spaces
    - Exhaust Air: Contaminated air removal from spaces</t>
  </si>
  <si>
    <t>What is the total cross-sectional area of ductwork?</t>
  </si>
  <si>
    <t>Total Duct Cross-Sectional Area: 1133.891 sq m
    Average per Duct: 1.906 sq m
    Ducts with area data: 595/595
    Duct Area by Building Level:
    - B01_OKFB: 347.279 sq m (30.6%)
    - E00_OKFB: 1.520 sq m (0.1%)
    - E01_OKFB: 0.219 sq m (0.0%)
    - E01_UKAHD: 352.868 sq m (31.1%)
    - E02_OKRD: 66.185 sq m (5.8%)
    - E02_UKAHD: 326.962 sq m (28.8%)
    - E02_UKRD: 38.858 sq m (3.4%)</t>
  </si>
  <si>
    <t>How many air terminals serve each building storey?</t>
  </si>
  <si>
    <t>Air Terminals by Building Storey:
   - E00_OKRD: 35 terminals (23.6%)
   - E01_OKRD: 113 terminals (76.4%)
   Total Air Terminals: 148</t>
  </si>
  <si>
    <t>Total MEP Components: 4112
   Components by System Type:
   - Heating: 1795 components
     * Radiators: 63
     * Pipe segments: 914
     * Pipe fittings: 743
     * Valves: 65
     * Pumps: 5
     * Tanks: 2
     * Sensors: 2
     * Heat pump equipment: 1
   - Plumbing: 1010 components
     * Sanitary terminals: 72
     * Water heaters: 16
     * Pipe segments: 504
     * Pipe fittings: 411
     * Valves: 3
     * Waste terminals: 2
     * Filters: 1
   - Ventilation: 1307 components
     * Air terminals: 148
     * Duct segments: 595
     * Duct fittings: 538
     * Dampers: 18
     * Fans: 2
     * Coils: 2
     * Filters: 2
     * Heat recovery: 1</t>
  </si>
  <si>
    <t>MEP Terminal Distribution:
   - Total terminals: 283
   - Total spaces: 64 (from architecture)
   - Average terminals per space: 4.4
   Terminal Types:
   - Heating terminals (radiators): 63
   - Plumbing terminals (fixtures): 72
   - Ventilation terminals (diffusers): 148</t>
  </si>
  <si>
    <t>What MEP systems serve Level B01_OKRD?</t>
  </si>
  <si>
    <t>B01_OKRD (Basement Level) MEP Systems:
   - Heating system: 0 major components
   - Plumbing system: 0 major components
   - Ventilation system: 0 major components
   Primary Functions:
   - Technical equipment rooms
   - Main utility distribution
   - Heat pump and mechanical equipment</t>
  </si>
  <si>
    <t>What MEP systems serve Level E00_OKRD?</t>
  </si>
  <si>
    <t>E00_OKRD (Ground Level) MEP Systems:
   - Heating system: 0 major components
   - Plumbing system: 0 major components
   - Ventilation system: 0 major components
   Primary Functions:
   - Occupied spaces conditioning
   - Public restroom facilities
   - Main air handling equipment</t>
  </si>
  <si>
    <t>What MEP systems serve Level E01_OKRD?</t>
  </si>
  <si>
    <t>E01_OKRD (First Level) MEP Systems:
   - Heating system: 0 major components
   - Plumbing system: 0 major components
   - Ventilation system: 0 major components
   Primary Functions:
   - Office space conditioning
   - Individual room controls
   - Zone-specific air distribution</t>
  </si>
  <si>
    <t>What electrical distribution equipment is installed?</t>
  </si>
  <si>
    <t>Electrical distribution equipment not found in MEP files.
   This information would typically be in a dedicated electrical IFC file.
   However, electrical loads are present from:
   - Water heaters: 16 units (instantaneous type)
   - Heat pump equipment: 1 units
   - Circulation pumps: 5 units
   - Ventilation fans: 2 units</t>
  </si>
  <si>
    <t>What electrical distribution equipment capacities are installed?</t>
  </si>
  <si>
    <t>Electrical panel capacities not available in MEP files.
   Refer to electrical discipline for distribution panel specifications.</t>
  </si>
  <si>
    <t>What are the electrical loads by system type?</t>
  </si>
  <si>
    <t>Electrical Loads by System Type:
   - Hot Water System: 48.0 kW
     * 16 instantaneous water heaters at 3 kW each
   - Heat Pump System: 15.0 kW (estimated)
     * 1 heat pump unit
   - Circulation Pumps: 3.8 kW (estimated)
     * 5 heating circulation pumps
   - Ventilation Fans: 4.0 kW (estimated)
     * 2 AHU fans
   Total Estimated MEP Load: 70.8 kW
   Note: Actual loads may vary based on equipment specifications</t>
  </si>
  <si>
    <t>What are the voltage levels used in the electrical system?</t>
  </si>
  <si>
    <t>Specific voltage levels not available in MEP files.
    Standard German building voltages likely used:
    - 230V single-phase for small equipment
    - 400V three-phase for larger mechanical equipment
    - Low voltage control systems for building automation</t>
  </si>
  <si>
    <t>What lighting systems are installed?</t>
  </si>
  <si>
    <t>Lighting systems not found in model files.</t>
  </si>
  <si>
    <t>What is the total energy efficiency rating of the building?</t>
  </si>
  <si>
    <t>No explicit total energy efficiency rating is available in the models.</t>
  </si>
  <si>
    <t>What maintenance requirements exist for MEP systems?</t>
  </si>
  <si>
    <t>No explicit maintenance requirements are available in the models.</t>
  </si>
  <si>
    <t>What is the total pipe and duct length in the building?</t>
  </si>
  <si>
    <t>Total Distribution System Lengths:
    - Heating pipes: 1207377.1 m (914 segments)
    - Plumbing pipes: 301106.0 m (504 segments)
    - Ventilation ducts: 88788.6 m (595 segments)
    Total MEP Distribution: 1597271.7 m
    Total Distribution Components: 2013</t>
  </si>
  <si>
    <t>Building Information:
   - Project Name: Sample House
   - Building Name: Samuel Macalister sample house design
   - Site/Location: Boston</t>
  </si>
  <si>
    <t>Modeling Standards:
   - IFC Schema: IFC4
   - Preprocessor Version: The EXPRESS Data Manager Version 5.01.0100.02.64mod : 6 Jun 2012
   - Time Stamp: 2013-12-16T11:31:19</t>
  </si>
  <si>
    <t>Building Spatial Layout Overview:
   - Total Building Levels defined in model: 6 storeys
   - Total Spaces: 14 spaces
   - Total Floor Area: 279.0 sq m (partial data)
   Space Distribution by Level:
   - Level 2: 8 spaces
     Area: 101.7 sq m
   - Level 1: 6 spaces
     Area: 177.2 sq m
   Space Functions Distribution:
   - Bath: 3 spaces (21.4%)
   - Bedroom: 2 spaces (14.3%)
   - Master Bedroom: 1 spaces (7.1%)
   - Master Bath: 1 spaces (7.1%)
   - Entry Hall: 1 spaces (7.1%)
   - Kitchen &amp; Dining: 1 spaces (7.1%)
   - Laundry: 1 spaces (7.1%)
   - Hall: 1 spaces (7.1%)
   - Living: 1 spaces (7.1%)
   - Mech.: 1 spaces (7.1%)
   - Linen: 1 spaces (7.1%)</t>
  </si>
  <si>
    <t>Level 1 Spatial Layout: 6 spaces
   Total Area: 177.2 sq m
   Level 1 Spaces by Function:
   - Bath (1 spaces):
     * 103: 2.7 sq m
   - Hall (1 spaces):
     * 105: 23.8 sq m
   - Kitchen &amp; Dining (1 spaces):
     * 101: 73.0 sq m
   - Laundry (1 spaces):
     * 104: 5.3 sq m
   - Living (1 spaces):
     * 106: 70.3 sq m
   - Mech. (1 spaces):
     * 102: 2.1 sq m</t>
  </si>
  <si>
    <t>Level 2 Spatial Layout: 8 spaces
   Total Area: 101.7 sq m
   Level 2 Spaces by Function:
   - Bath (2 spaces):
     * 203: 4.0 sq m
     * 205: 4.0 sq m
   - Bedroom (2 spaces):
     * 202: 13.7 sq m
     * 204: 13.9 sq m
   - Entry Hall (1 spaces):
     * 201: 30.7 sq m
   - Linen (1 spaces):
     * 208: 1.4 sq m
   - Master Bath (1 spaces):
     * 207: 7.1 sq m
   - Master Bedroom (1 spaces):
     * 206: 27.0 sq m</t>
  </si>
  <si>
    <t>Building Level Information:
   - Foundation:
     Elevation: -0.80 m
   - Level 1 Living Rm.:
     Elevation: -0.55 m
   - Level 1:
     Elevation: 0 m
   - Level 2:
     Elevation: 3.00 m
   - Roof Line:
     Elevation: 6.00 m
     Floor-to-floor from Level 2: 3.00 m
   Note: 'Level 1' and 'Level 1 Living Rm.' are connected (same level)
   Note: 'Ceiling' and 'Level 2' are connected (same level)</t>
  </si>
  <si>
    <t>Building Space Utilization Analysis:
   - Total Functions: 11
   - Total Spaces: 14
   Functional Category Summary:
   - Bedroom Spaces: 3 spaces
   - Bathroom Spaces: 4 spaces
   - Kitchen/Dining Spaces: 1 space
   Functions with Area Data:
   - Kitchen &amp; Dining: 73.0 sq m (26.2% of measured)
     Spaces: 1
   - Living: 70.3 sq m (25.2% of measured)
     Spaces: 1
   - Entry Hall: 30.7 sq m (11.0% of measured)
     Spaces: 1
   - Bedroom: 27.6 sq m (9.9% of measured)
     Spaces: 2, Average: 13.8 sq m
   - Master Bedroom: 27.0 sq m (9.7% of measured)
     Spaces: 1
   - Hall: 23.8 sq m (8.5% of measured)
     Spaces: 1
   - Bath: 10.7 sq m (3.8% of measured)
     Spaces: 3, Average: 3.6 sq m
   - Master Bath: 7.1 sq m (2.6% of measured)
     Spaces: 1
   - Laundry: 5.3 sq m (1.9% of measured)
     Spaces: 1
   - Mech.: 2.1 sq m (0.7% of measured)
     Spaces: 1
   - Linen: 1.4 sq m (0.5% of measured)
     Spaces: 1</t>
  </si>
  <si>
    <t>Largest Room: 101
   Function: Kitchen &amp; Dining
   Area: 73.0 sq m
   Level: Level 1</t>
  </si>
  <si>
    <t>Space-specific ceiling height information is not available in this model.
The model contains building level elevations but not individual space heights.
Based on building design, spaces on level 2 may have higher ceilings.</t>
  </si>
  <si>
    <t>Total Doors: 13
   Door Types and Quantities:
   - Single-Flush:800 x 2100: 7 door(s)
   - Entrance door:Entrance door: 2 door(s)
   - Pocket_Slider_Door_5851: 3 door(s)
   - M_Double-Flush: 1 door(s)</t>
  </si>
  <si>
    <t>Average Door Width: 1263 mm (1.26 m)
   - Width range: 800 - 1890 mm
   - Most common widths:
     800 mm: 7 doors (43.8%)
     1450 mm: 5 doors (31.2%)
     1890 mm: 3 doors (18.8%)
     1750 mm: 1 doors (6.2%)</t>
  </si>
  <si>
    <t>Which door has the largest width?</t>
  </si>
  <si>
    <t>Largest Door Width: 1890 mm (1.89 m)
   Doors with largest width:
   - Pocket_Slider_Door_5851: 3 door(s)</t>
  </si>
  <si>
    <t>Total Windows: 17
   Window Types and Quantities:
   - Single Window: 15 window(s)
   - M_Skylight: 2 window(s)</t>
  </si>
  <si>
    <t>Largest Window Width: 1500 mm (1.50 m)
   Windows with largest width:
   - Single Window:Standard: 15 door(s)</t>
  </si>
  <si>
    <t>What materials are used for the walls?</t>
  </si>
  <si>
    <t>Wall Materials Used in Building:
   - Total unique materials: 13
   Wall Materials per Type:
   - Basic Wall:Interior - Partition: 120mm
     Materials (3 layers):
       1. Finishes - Interior - Gypsum Wall Board - 10mm
       2. Wood - Stud Layer - 100mm
       3. Finishes - Interior - Gypsum Wall Board - 10mm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165mm
     Materials (3 layers):
       1. Finishes - Interior - Gypsum Wall Board - 13mm
       2. Wood - Stud Layer - 140mm
       3. Finishes - Interior - Gypsum Wall 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</si>
  <si>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Exterior Wall Materials per Type: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</si>
  <si>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Interior Wall Materials per Type:
   - Basic Wall:Interior - Partition: 120mm
     Materials (3 layers):
       1. Finishes - Interior - Gypsum Wall Board - 10mm
       2. Wood - Stud Layer - 100mm
       3. Finishes - Interior - Gypsum Wall Board - 10mm
   - Basic Wall:Interior - 165 Partition (1-hr): 165mm
     Materials (3 layers):
       1. Finishes - Interior - Gypsum Wall Board - 13mm
       2. Wood - Stud Layer - 140mm
       3. Finishes - Interior - Gypsum Wall Board - 13mm</t>
  </si>
  <si>
    <t>Wall length information is not available in this model.</t>
  </si>
  <si>
    <t>This information is not available in the model, but the approximate total footprint area of the building is 515 sq m.</t>
  </si>
  <si>
    <t>Total Footings: 22
   Footing Types:
   - M_Pile Cap-600 Pile:600 x 600 x 900mm: 11 footing(s)
   - M_Pile-Steel Pipe:600mm Diameter: 11 footing(s)</t>
  </si>
  <si>
    <t>Which types of curtain walls are installed?</t>
  </si>
  <si>
    <t>Total Curtain Walls: 9
   Curtain Wall Types:
   - Curtain Wall: 9 curtain wall(s)
   Curtain Wall Characteristics:
   - Provides glazed facade elements
   - Integrated with building envelope
   - May include operable elements (doors/windows)</t>
  </si>
  <si>
    <t>Total Coverings: 3
   Covering Types:
   - Basic Ceiling:Generic: 1 covering(s)
   - Compound Ceiling:3000 x 3000mm Grid: 2 covering(s)
   Covering Functions:
   - CEILING: 3 covering(s)</t>
  </si>
  <si>
    <t>Ceiling Materials Found:
   - Compound Ceiling:3000 x 3000mm Grid
     Materials (3 layers):
       1. Default - 35mm
       2. Finishes - Interior - Plasterboard - 15mm
   - Basic Ceiling:Generic
     No Materials Listed</t>
  </si>
  <si>
    <t>Which furniture items are in the kitchen on level 1?</t>
  </si>
  <si>
    <t>Which appliances are available in the laundry room?</t>
  </si>
  <si>
    <t>Which sanitary equipment is present in the building?</t>
  </si>
  <si>
    <t>Sanitary Terminal Elements: 0
Sanitary Equipment from Building Elements: 10
   Sanitary Equipment Types:
   - Toilets: 4 item(s)
   - Lavatories/Basins: 4 item(s)
   - Sinks: 1 item(s)
   - Bathtubs: 1 item(s)
   Detailed Sanitary Equipment:
   - Bathtub-TOTO-Nexus-FBF794S:01 Cotton
   - Lavatory-TOTO-Luminist_Rectangle_Vessel_LLT151:Standard
   - Sink-Offset-Kohler-Vault-3823_4:Steel-Stainless-NA
   - Walvit_Hung Bowl_604118 W:Walvit
   Bathroom Spaces:
   - 207: Master Bath
   - 203: Bath
   - 205: Bath
   - 103: Bath</t>
  </si>
  <si>
    <t>How many bathrooms are there, and where are they located?</t>
  </si>
  <si>
    <t>Toilet Locations (based on bathroom spaces):
   - Level 1 bathrooms: 1
     * 103: Bath
   - Level 2 bathrooms: 3
     * 207: Master Bath
     * 203: Bath
     * 205: Bath</t>
  </si>
  <si>
    <t>What is the size of the living room terrace?</t>
  </si>
  <si>
    <t>The terrace area of the living room is 17.7 sq m.</t>
  </si>
  <si>
    <t>What is the size of the master bedroom terrace?</t>
  </si>
  <si>
    <t>The terrace area of the master bedroom is 9 sq m.</t>
  </si>
  <si>
    <t>What is the total area of curtain walls in the Dining area on the lower floor?</t>
  </si>
  <si>
    <t>The total area of curtain walls that are used in the Dining area on level 1 is approximately 80 sq m.</t>
  </si>
  <si>
    <t>Total Stairs: 3
   Stair Types:
   - Precast Stair:Stair:513254: 1 stair(s)
   - Assembled Stair:Stair:665557: 1 stair(s)
   - Precast Stair:Stair:725045: 1 stair(s)
   Stair Construction Types:
   - Precast Concrete: 2 stair(s)
   - Assembled/Prefabricated: 1 stair(s)
   Related Circulation Elements:
   - Railings: 10 elements
   - Stair landings: 1 elements</t>
  </si>
  <si>
    <t>What are the slab types and their thicknesses?</t>
  </si>
  <si>
    <t>Total Slabs: 12
   FOUNDATION Slabs:
   - Foundation Slab:150mm Foundation Slab: 1 slab(s)
     Thickness: 150 mm
     Materials (1 layers):
       1. Concrete, Cast In Situ - 150 mm
   FLOOR Slabs:
   - Floor:Generic 150mm:176804: 1 slab(s)
     Thickness: 150 mm
     Materials (1 layers):
       1. SH_resin Floor - 150 mm
   - Floor:Generic 300:418183: 1 slab(s)
     Thickness: 300 mm
     Materials (1 layers):
       1. SH_resin Floor - 300 mm
   - Pad:Pad 2:490319: 1 slab(s)
     Thickness: 300 mm
     Materials (1 layers):
       1.  &lt;Unnamed&gt; - 300 mm
   - Floor:Concrete-Domestic 425mm:495352: 1 slab(s)
     Thickness: 425 mm
     Materials (5 layers):
       1. Concrete, Sand/Cement Screed - 50 mm
       2. Concrete, Cast In Situ - 175 mm
       3. Damp-proofing
       4. Rigid insulation - 50 mm
       5. Site - Hardcore - 150 mm
   - Floor:Timber Suspended Floor:512683: 1 slab(s)
     Thickness: 247 mm
     Materials (2 layers):
       1. Carpet (1) - 22 mm
       2. Structure - Timber Joist/Rafter Layer - 225 mm
   - Pad:Pad 2:523064: 1 slab(s)
     Thickness: 300 mm
     Materials (1 layers):
       1.  &lt;Unnamed&gt; - 300 mm
   - Floor:Generic 300:549031: 1 slab(s)
     Thickness: 300 mm
     Materials (1 layers):
       1. SH_resin Floor - 300 mm
   - Floor:Generic 150mm:550255: 1 slab(s)
     Thickness: 150 mm
     Materials (1 layers):
       1. SH_resin Floor - 150 mm
   - Floor:Insitu Concrete 225mm:647908: 1 slab(s)
     Thickness: 225 mm
     Materials (3 layers):
       1. Concrete, Sand/Cement Screed - 50 mm
       2. Damp-proofing
       3. Concrete, Cast In Situ - 175 mm
   - Floor:Insitu Concrete 225mm:764691: 1 slab(s)
     Thickness: 225 mm
     Materials (3 layers):
       1. Concrete, Sand/Cement Screed - 50 mm
       2. Damp-proofing
       3. Concrete, Cast In Situ - 175 mm
   ROOF Slabs:
   - Basic Roof:Warm Roof - Timber:724430: 1 slab(s)
     Thickness: 338 mm
     Materials (7 layers):
       1. Roofing - Asphalt - 20 mm
       2. Roofing - Felt
       3. Insulation / Thermal Barriers - Rigid insulation - 50 mm
       4. Vapour / Moisture Barriers - Vapour Retarder
       5. Wood - Sheathing - Chipboard - 18 mm
       6. Wood - Firring - 50 mm
       7. Structure - Timber Joist/Rafter Layer - 200 mm
   LANDING Slabs:
   - Precast Stair:Stair:725045 Landing 1: 1 slab(s)
     Materials (1 layers):
       1. Concrete, Cast In Situ
   Overall Slab Thickness Statistics:
   - Thickness range: 150 - 425 mm
   - Average thickness: 269 mm</t>
  </si>
  <si>
    <t>Slab volume data is not available in the model properties.</t>
  </si>
  <si>
    <t>Total Railings: 10
   Railing Types:
   - Railing: 10 railing(s)
   Railing Heights:
   - 1100 mm: 10 railing(s)
   Railing Installation Context:
   - Associated with stairs: 3 stair elements</t>
  </si>
  <si>
    <t>No fire rating information available for doors in this model.</t>
  </si>
  <si>
    <t>No fire rating information available for windows in this model.</t>
  </si>
  <si>
    <t>Structural System Type suggestions based on available model:
   - Foundation: Deep pile foundation system
   - Superstructure: Column and slab system (flat slab or post-tensioned)</t>
  </si>
  <si>
    <t>No beam elements found in this building model.</t>
  </si>
  <si>
    <t>Total Columns: 3
   Column Types:
   - M_Concrete-Round-Column with Drop Caps:M_1000: 1 column(s)
   - M_L-Anglel-Column:L127X127X9.5: 2 column(s)
   Column Characteristics:
   - M_Concrete-Round-Column with Drop Caps:M_1000:414482:
     Material: Concrete
     Shape: Round
     Features: Drop Caps
   - M_L-Anglel-Column:L127X127X9.5:
     Material: Steel
     Shape: L-Angle
   Column Materials Summary:
   - Steel: 2 column(s)
   - Concrete: 1 column(s)</t>
  </si>
  <si>
    <t>What materials are used for the roof?</t>
  </si>
  <si>
    <t>Roof identified: 2
   Roof Types:
   - Basic Roof:SG Metal Panels roof: 1 roof(s)
     Type: Sloped Roof
     Materials (1 layers):
       1. Softwood, Lumber
   - Basic Roof:Warm Roof - Timber: 1 roof(s)
     Type: Flat Roof
     Materials (7 layers):
     1. Roofing - Asphalt - 20 mm
     2. Roofing - Felt
     3. Insulation / Thermal Barriers - Rigid insulation - 50 mm
     4. Vapour / Moisture Barriers - Vapour Retarder
     5. Wood - Sheathing - Chipboard - 18 mm
     6. Wood - Firring - 50 mm
     7. Structure - Timber Joist/Rafter Layer - 200 mm
   Roof Construction Summary:
   - Total unique materials: 8
   - Structural materials: Wood - Sheathing - Chipboard, Structure - Timber Joist/Rafter Layer
   - Insulation materials: Insulation / Thermal Barriers - Rigid insulation
   - Weather protection: Vapour / Moisture Barriers - Vapour Retarder, Roofing - Asphalt, Roofing - Felt
   - Finish materials: Wood - Firring, Softwood, Lumber
   Roof System Type:
   - Timber frame roof construction
   - Warm roof system (insulation above structure)</t>
  </si>
  <si>
    <t>What is the size of the parking area?</t>
  </si>
  <si>
    <t>Parking area is approximately 85 sq m.</t>
  </si>
  <si>
    <t>Which light fixtures are installed in the building?</t>
  </si>
  <si>
    <t>Light Fixture types:
   - Trck_BswySystms_Cooper_RSA_Profile Series_AR111 Closed Back Integral Xfmr: 8 items
   - SH_Lighting-Pendant-Litecontrol-Mod66-8_Foot_09:P-D-66N28T8: 2 items</t>
  </si>
  <si>
    <t>Which types of renewable energy systems are used in this house?</t>
  </si>
  <si>
    <t>Renewable energy sources that are present in the model:
   - M_Wind Power Generator: 3 items
   - Photovoltaic-Panel-SolarWorld-SunModule-(235-240): 12 items
Note: All of the above-mentioned elements are modeled as Building Element Proxies rather than as electrical elements.</t>
  </si>
  <si>
    <t>How tall are the wind turbines, and what spacing is maintained between them?</t>
  </si>
  <si>
    <t>All wind power generators are 9 m high and installed 3 m apart from each other.</t>
  </si>
  <si>
    <t>What are the specifications of the solar panels?</t>
  </si>
  <si>
    <t>Solar panel properties:
   - Model: SunModule SW 245 Silver Mono
   - Manufacturer: SolarWorld
   - Installation angle: 10 Deg. Angle</t>
  </si>
  <si>
    <t>Building Spatial Layout Overview:
   Project Name: Blok S1 Strijp S
   Total Building Levels: 19 storeys defined, 17 storeys contain residential units
   Total Residential Units: 110 units
   FInal building height above ground: 57 m</t>
  </si>
  <si>
    <t>Modeling Standards:
   - IFC Schema: IFC2X3
   - IFC file generated by GRAPHISOFT ARCHICAD-64 21.0.0 NED FULL Windows version (IFC add-on version: 7000 NED FULL).
   - Time Stamp: 2019-12-03T09:42:42</t>
  </si>
  <si>
    <t>Residential units Distribution:
   - -1 fundering (Foundation): -1.0m elevation
   - 00 begane grond (Ground Floor): 0.0m elevation
     Residential units: 7
   - 01 eerste verdieping (First Floor): 4.5m elevation
     Residential units: 10
   - 02 tweede verdieping (Second Floor): 7.7m elevation
     Residential units: 10
   - 03 derde verdieping (Third Floor): 10.9m elevation
     Residential units: 10
   - 04 vierde verdieping (Fourth Floor): 14.1m elevation
     Residential units: 8
   - 05 vijfde verdieping (Fifth Floor): 17.3m elevation
     Residential units: 8
   - 06 zesde verdieping (Sixth Floor): 20.5m elevation
     Residential units: 8
   - 07 zevende verdieping (Seventh Floor): 23.7m elevation
     Residential units: 8
   - 08 achtste verdieping (Eighth Floor): 26.9m elevation
     Residential units: 8
   - 09 negende verdieping (Ninth Floor): 30.1m elevation
     Residential units: 6
   - 10 tiende verdieping (Tenth Floor): 33.3m elevation
     Residential units: 6
   - 11 elfde verdieping (Eleventh Floor): 36.5m elevation
     Residential units: 4
   - 12 twaalfde verdieping (Twelfth Floor): 39.7m elevation
     Residential units: 4
   - 13 dertiende verdieping (Thirteenth Floor): 42.9m elevation
     Residential units: 4
   - 14 veertiende verdieping (Fourteenth Floor): 46.1m elevation
     Residential units: 4
   - 15 vijftiende verdieping (Fifteenth Floor): 49.3m elevation
     Residential units: 2
   - 16 zestiende verdieping (Sixteenth Floor): 52.5m elevation
     Residential units: 2
   - 17 dak (Roof): 55.7m elevation
Note: This model lacks detailed space definitions. Only simplified representations for residential units are available within each building storey.</t>
  </si>
  <si>
    <t>Ground Level (00 begane grond): 0.0m elevation
   Ground Level Units:
   - Unit 0.01: kavel nr
     Approximate gross area: 66 sq m
   - Unit 0.02: kavel nr
     Approximate gross area: 66 sq m
   - Unit 0.03: kavel nr
     Approximate gross area: 66 sq m
   - Unit 0.04: kavel nr
     Approximate gross area: 66 sq m
   - Unit 0.05: kavel nr
     Approximate gross area: 66 sq m
   - Unit 0.06: kavel nr
     Approximate gross area: 66 sq m
   - Unit 0.07: kavel nr
     Approximate gross area: 86 sq m
Note: This model lacks detailed space definitions. Only simplified representations for residential units are available within each building storey.</t>
  </si>
  <si>
    <t>First Floor (01 eerste verdieping):  4.5m elevation
   First Floor Units:
   - Unit 1.01: kavel nr
     Approximate gross area: 85 sq m
   - Unit 1.02: kavel nr
     Approximate gross area: 66 sq m
   - Unit 1.03: kavel nr
     Approximate gross area: 66 sq m
   - Unit 1.04: kavel nr
     Approximate gross area: 66 sq m
   - Unit 1.05: kavel nr
     Approximate gross area: 104 sq m
   - Unit 1.06: kavel nr
     Approximate gross area: 104 sq m
   - Unit 1.07: kavel nr
     Approximate gross area: 66 sq m
   - Unit 1.08: kavel nr
     Approximate gross area: 66 sq m
   - Unit 1.09: kavel nr
     Approximate gross area: 66 sq m
   - Unit 1.10: kavel nr
     Approximate gross area: 85 sq m
Note: This model lacks detailed space definitions. Only simplified representations for residential units are available within each building storey.</t>
  </si>
  <si>
    <t>Second Floor (02 tweede verdieping): 7.7m elevation
   Second Floor Units:
   - Unit 2.01: kavel nr
     Approximate gross area: 85 sq m
   - Unit 2.02: kavel nr
     Approximate gross area: 66 sq m
   - Unit 2.03: kavel nr
     Approximate gross area: 66 sq m
   - Unit 2.04: kavel nr
     Approximate gross area: 66 sq m
   - Unit 2.05: kavel nr
     Approximate gross area: 104 sq m
   - Unit 2.06: kavel nr
     Approximate gross area: 104 sq m
   - Unit 2.07: kavel nr
     Approximate gross area: 66 sq m
   - Unit 2.08: kavel nr
     Approximate gross area: 66 sq m
   - Unit 2.09: kavel nr
     Approximate gross area: 66 sq m
   - Unit 2.10: kavel nr
     Approximate gross area: 85 sq m
Note: This model lacks detailed space definitions. Only simplified representations for residential units are available within each building storey.</t>
  </si>
  <si>
    <t>Third Floor (03 derde verdieping): 10.9m elevation
   Third Floor Units:
   - Unit 3.01: kavel nr
     Approximate gross area: 85 sq m
   - Unit 3.02: kavel nr
     Approximate gross area: 66 sq m
   - Unit 3.03: kavel nr
     Approximate gross area: 66 sq m
   - Unit 3.04: kavel nr
     Approximate gross area: 66 sq m
   - Unit 3.05: kavel nr
     Approximate gross area: 104 sq m
   - Unit 3.06: kavel nr
     Approximate gross area: 104 sq m
   - Unit 3.07: kavel nr
     Approximate gross area: 66 sq m
   - Unit 3.08: kavel nr
     Approximate gross area: 66 sq m
   - Unit 3.09: kavel nr
     Approximate gross area: 66 sq m
   - Unit 3.10: kavel nr
     Approximate gross area: 85 sq m
Note: This model lacks detailed space definitions. Only simplified representations for residential units are available within each building storey.</t>
  </si>
  <si>
    <t>Fourth Floor (04 vierde verdieping): 14.1m elevation
   Fourth Floor Units:
   - Unit 4.01: kavel nr
     Approximate gross area: 84 sq m
   - Unit 4.02: kavel nr
     Approximate gross area: 97 sq m
   - Unit 4.03: kavel nr
     Approximate gross area: 96 sq m
   - Unit 4.04: kavel nr
     Approximate gross area: 104 sq m
   - Unit 4.05: kavel nr
     Approximate gross area: 104 sq m
   - Unit 4.06: kavel nr
     Approximate gross area: 96 sq m
   - Unit 4.07: kavel nr
     Approximate gross area: 97 sq m
   - Unit 4.08: kavel nr
     Approximate gross area: 84 sq m
Note: This model lacks detailed space definitions. Only simplified representations for residential units are available within each building storey.</t>
  </si>
  <si>
    <t>Fifth Floor (05 vijfde verdieping): 17.3m elevation
   Fifth Floor Units:
   - Unit 5.01: kavel nr
     Approximate gross area: 84 sq m
   - Unit 5.02: kavel nr
     Approximate gross area: 97 sq m
   - Unit 5.03: kavel nr
     Approximate gross area: 96 sq m
   - Unit 5.04: kavel nr
     Approximate gross area: 104 sq m
   - Unit 5.05: kavel nr
     Approximate gross area: 104 sq m
   - Unit 5.06: kavel nr
     Approximate gross area: 96 sq m
   - Unit 5.07: kavel nr
     Approximate gross area: 97 sq m
   - Unit 5.08: kavel nr
     Approximate gross area: 84 sq m
Note: This model lacks detailed space definitions. Only simplified representations for residential units are available within each building storey.</t>
  </si>
  <si>
    <t>Sixth Floor (06 zesde verdieping): 20.5m elevation
   Sixth Floor Units:
   - Unit 6.01: kavel nr
     Approximate gross area: 84 sq m
   - Unit 6.02: kavel nr
     Approximate gross area: 97 sq m
   - Unit 6.03: kavel nr
     Approximate gross area: 96 sq m
   - Unit 6.04: kavel nr
     Approximate gross area: 104 sq m
   - Unit 6.05: kavel nr
     Approximate gross area: 104 sq m
   - Unit 6.06: kavel nr
     Approximate gross area: 96 sq m
   - Unit 6.07: kavel nr
     Approximate gross area: 97 sq m
   - Unit 6.08: kavel nr
     Approximate gross area: 84 sq m
Note: This model lacks detailed space definitions. Only simplified representations for residential units are available within each building storey.</t>
  </si>
  <si>
    <t>Seventh Floor (07 zevende verdieping): 23.7m elevation
   Seventh Floor Units:
   - Unit 7.01: kavel nr
     Approximate gross area: 84 sq m
   - Unit 7.02: kavel nr
     Approximate gross area: 65 sq m
   - Unit 7.03: kavel nr
     Approximate gross area: 65 sq m
   - Unit 7.04: kavel nr
     Approximate gross area: 163 sq m
   - Unit 7.05: kavel nr
     Approximate gross area: 163 sq m
   - Unit 7.06: kavel nr
     Approximate gross area: 65 sq m
   - Unit 7.07: kavel nr
     Approximate gross area: 65 sq m
   - Unit 7.08: kavel nr
     Approximate gross area: 85 sq m
Note: This model lacks detailed space definitions. Only simplified representations for residential units are available within each building storey.</t>
  </si>
  <si>
    <t>Eighth Floor (08 achtste verdieping): 26.9m elevation
   Eighth Floor Units:
   - Unit 8.01: kavel nr
     Approximate gross area: 88 sq m
   - Unit 8.02: kavel nr
     Approximate gross area: 70 sq m
   - Unit 8.03: kavel nr
     Approximate gross area: 70 sq m
   - Unit 8.04: kavel nr
     Approximate gross area: 132 sq m
   - Unit 8.05: kavel nr
     Approximate gross area: 132 sq m
   - Unit 8.06: kavel nr
     Approximate gross area: 70 sq m
   - Unit 8.07: kavel nr
     Approximate gross area: 70 sq m
   - Unit 8.08: kavel nr
     Approximate gross area: 88 sq m
Note: This model lacks detailed space definitions. Only simplified representations for residential units are available within each building storey.</t>
  </si>
  <si>
    <t>Ninth Floor (09 negende verdieping): 30.1m elevation
   Ninth Floor Units:
   - Unit 9.01: kavel nr
     Approximate gross area: 84 sq m
   - Unit 9.02: kavel nr
     Approximate gross area: 65 sq m
   - Unit 9.03: kavel nr
     Approximate gross area: 162 sq m
   - Unit 9.04: kavel nr
     Approximate gross area: 162 sq m
   - Unit 9.05: kavel nr
     Approximate gross area: 65 sq m
   - Unit 9.06: kavel nr
     Approximate gross area: 86 sq m
Note: This model lacks detailed space definitions. Only simplified representations for residential units are available within each building storey.</t>
  </si>
  <si>
    <t>Tenth Floor (10 tiende verdieping): 33.3m elevation
   Tenth Floor Units:
   - Unit 10.01: kavel nr
     Approximate gross area: 84 sq m
   - Unit 10.02: kavel nr
     Approximate gross area: 65 sq m
   - Unit 10.03: kavel nr
     Approximate gross area: 127 sq m
   - Unit 10.04: kavel nr
     Approximate gross area: 127 sq m
   - Unit 10.05: kavel nr
     Approximate gross area: 65 sq m
   - Unit 10.06: kavel nr
     Approximate gross area: 86  sq m
Note: This model lacks detailed space definitions. Only simplified representations for residential units are available within each building storey.</t>
  </si>
  <si>
    <t>Eleventh Floor (11 elfde verdieping): 36.5m elevation
   Eleventh Floor Units:
   - Unit 11.01: kavel nr
     Approximate gross area: 84 sq m
   - Unit 11.02: kavel nr
     Approximate gross area: 162 sq m
   - Unit 11.03: kavel nr
     Approximate gross area: 162 sq m
   - Unit 11.04: kavel nr
     Approximate gross area: 86 sq m
Note: This model lacks detailed space definitions. Only simplified representations for residential units are available within each building storey.</t>
  </si>
  <si>
    <t>Twelfth Floor (12 twaalfde verdieping): 39.7m elevation
   Twelfth Floor Units:
   - Unit 12.01: kavel nr
     Approximate gross area: 84 sq m
   - Unit 12.02: kavel nr
     Approximate gross area: 127 sq m
   - Unit 12.03: kavel nr
     Approximate gross area: 127 sq m
   - Unit 12.04: kavel nr
     Approximate gross area: 86 sq m
Note: This model lacks detailed space definitions. Only simplified representations for residential units are available within each building storey.</t>
  </si>
  <si>
    <t>Thirteenth Floor (13 dertiende verdieping): 42.9m elevation
   Thirteenth Floor Units:
   - Unit 13.01: kavel nr
     Approximate gross area: 84 sq m
   - Unit 13.02: kavel nr
     Approximate gross area: 95 sq m
   - Unit 13.03: kavel nr
     Approximate gross area: 95 sq m
   - Unit 13.04: kavel nr
     Approximate gross area: 86 sq m
Note: This model lacks detailed space definitions. Only simplified representations for residential units are available within each building storey.</t>
  </si>
  <si>
    <t>Fourteenth Floor (14 veertiende verdieping): 46.1m elevation
   Fourteenth Floor Units:
   - Unit 13.02V: kavel nr
     Approximate gross area: 65 sq m
   - Unit 13.03V: kavel nr
     Approximate gross area: 65 sq m
   - Unit 14.01: kavel nr
     Approximate gross area: 84 sq m
   - Unit 14.02: kavel nr
     Approximate gross area: 86 sq m
Note: This model lacks detailed space definitions. Only simplified representations for residential units are available within each building storey.</t>
  </si>
  <si>
    <t>Fifteenth Floor (15 vijftiende verdieping): 49.3m elevation
   Fifteenth Floor Units:
   - Unit 15.01: kavel nr
     Approximate gross area: 148 sq m
   - Unit 15.02: kavel nr
     Approximate gross area: 150 sq m
Note: This model lacks detailed space definitions. Only simplified representations for residential units are available within each building storey.</t>
  </si>
  <si>
    <t>Sixteenth Floor (16 zestiende verdieping): 52.5m elevation
   Sixteenth Floor Units:
   - Unit 15.01V: kavel nr
     Approximate gross area: 88.2 sq m
   - Unit 15.02V: kavel nr
     Approximate gross area: 89.5 sq m
Note: This model lacks detailed space definitions. Only simplified representations for residential units are available within each building storey.</t>
  </si>
  <si>
    <t>Roof (17 dak): Elevation: 55.7m
   No spaces defined on level 17
   Note: This is the roof level. Used only for modelling the roof structure.</t>
  </si>
  <si>
    <t>Space Distribution by Function:
   - Building Type: Residential high-rise apartment complex
   - Residential Units: 110 units
   - Each defined space in the model represents an individual apartment/residential space
   - Total floors with units: 16 floors
Note: This model lacks detailed space definitions. Only simplified representations for residential units are available within each building storey.</t>
  </si>
  <si>
    <t>Level 1 represents a typical residential floor with 10 individual apartment units.
Note: This model lacks detailed space definitions. Only simplified representations for residential units are available within each building storey.</t>
  </si>
  <si>
    <t>Level 12 is a typical upper-level residential floor with 4 individual apartment units.
Note: This model lacks detailed space definitions. Only simplified representations for residential units are available within each building storey.</t>
  </si>
  <si>
    <t>What is the largest room in the first floor?</t>
  </si>
  <si>
    <t>Room size comparison is not available due to space area data quality issues. Individual room sizes within units cannot be reliably determined from the current model data. Each space represents an entire residential unit rather than individual rooms within units.</t>
  </si>
  <si>
    <t>Total Doors: 1049
   Door Types and Quantities:
   - merk-bi-st-01sp: 165 doors (15.7%)
   - merk-bi-st-02: 125 doors (11.9%)
   - merk-bi-st-01: 119 doors (11.3%)
   - merk-bi-st-02sp: 112 doors (10.7%)
   - 74_Door_DD_douchedeur: 107 doors (10.2%)
   - merk-bi-st-03: 68 doors (6.5%)
   - merk-bI- DALOC S23: 53 doors (5.1%)
   - merk-bI- DALOC S23SP: 52 doors (5.0%)
   - Merk-AL10C(29): 32 doors (3.1%)
   - Merk-AL10Csp(29): 27 doors (2.6%)
   - merk-bi-st-03sp: 20 doors (1.9%)
   - merk-bi-st-03SP: 19 doors (1.8%)
   - merk-bi-st-04sp: 16 doors (1.5%)
   - merk-bi-al-04: 16 doors (1.5%)
   - merk-bi-st-04: 15 doors (1.4%)
   - merk-bi-al-02: 15 doors (1.4%)
   - merk-bi-st-01SP: 14 doors (1.3%)
   - merk-bi-al-01: 13 doors (1.2%)
   - merk-bi-st-02SP: 11 doors (1.0%)
   - Merk-AL10B(29): 6 doors (0.6%)
   - Merk-AL10Bsp(29): 6 doors (0.6%)
   - Merk-AL18(29): 5 doors (0.5%)
   - Merk-AL10Dsp(29): 4 doors (0.4%)
   - Merk-AL10D(29): 4 doors (0.4%)
   - Merk-AL18sp(29): 3 doors (0.3%)
   - merk-bi-st-10sp: 3 doors (0.3%)
   - merk-bi-st-10: 3 doors (0.3%)
   - merk-bi-st-07: 3 doors (0.3%)
   - merk-bi-st-07sp: 3 doors (0.3%)
   - Merk-AL10Csp(35): 2 doors (0.2%)
   - merk-bi-st-08sp: 2 doors (0.2%)
   - Merk AL23: 1 doors (0.1%)
   - Merk AL25: 1 doors (0.1%)
   - Merk AL26: 1 doors (0.1%)
   - merk-bi-al-05: 1 doors (0.1%)
   - merk-bi-al-06: 1 doors (0.1%)
   - Merk-AL10C(35): 1 doors (0.1%)</t>
  </si>
  <si>
    <t>What is the largest door width used in the building?</t>
  </si>
  <si>
    <t>Largest Door Width: 3216 mm
   Door Type: merk-bi-al-06</t>
  </si>
  <si>
    <t>What is the smallest door width used in the building?</t>
  </si>
  <si>
    <t>Smallest Door Width: 759 mm
   Door Type: 74_Door_DD_douchedeur</t>
  </si>
  <si>
    <t>Total Windows: 850
   Window Types and Quantities:
   - Unnamed Window: 318 windows (37.4%)
   - Merk-AL01(29): 43 windows (5.1%)
   - Merk-AL9C(29): 31 windows (3.6%)
   - 32_DD_inspectieluik Gyproc: 28 windows (3.3%)
   - Merk-AL9Csp(29): 28 windows (3.3%)
   - Merk-AL01sp(37): 19 windows (2.2%)
   - Merk-AL03(29): 17 windows (2.0%)
   - Merk-AL20: 16 windows (1.9%)
   - Merk-AL11(29): 16 windows (1.9%)
   - Merk-ST07a-AL: 15 windows (1.8%)
   - Merk-AL02(29): 13 windows (1.5%)
   - Merk-AL01sp(34): 13 windows (1.5%)
   - Merk-ST05c-AL: 12 windows (1.4%)
   - Merk-ST05a-AL: 10 windows (1.2%)
   - Merk-AL04(29): 10 windows (1.2%)
   - Merk-AL01sp(35): 10 windows (1.2%)
   - Merk-AL12: 8 windows (0.9%)
   - Merk-ST04-AL: 6 windows (0.7%)
   - Merk AL19: 6 windows (0.7%)
   - Merk-AL9B(29): 6 windows (0.7%)
   - Merk-AL9Bsp(29): 6 windows (0.7%)
   - Merk-AL01sp(32): 6 windows (0.7%)
   - Merk-ST01-AL: 6 windows (0.7%)
   - Merk-ST06-AL: 6 windows (0.7%)
   - Merk-ST01c-AL(sp): 6 windows (0.7%)
   - Merk-AL01(38): 6 windows (0.7%)
   - Merk-AL02(38): 6 windows (0.7%)
   - Merk-ST04a-AL(sp): 5 windows (0.6%)
   - Merk-AL05: 5 windows (0.6%)
   - Merk-ST01a-AL(sp): 5 windows (0.6%)
   - Merk-ST01c-AL: 5 windows (0.6%)
   - Merk-AL02sp(36): 5 windows (0.6%)
   - Merk-AL02sp(35): 5 windows (0.6%)
   - Merk-AL17(29): 4 windows (0.5%)
   - Merk-ST04a-AL: 4 windows (0.5%)
   - Merk-AL01sp(33): 4 windows (0.5%)
   - Merk-AL02sp(32): 4 windows (0.5%)
   - Merk-AL9Dsp(29): 4 windows (0.5%)
   - Merk-AL9D(29): 4 windows (0.5%)
   - Merk-ST01a-AL: 4 windows (0.5%)
   - Merk-AL02sp(34): 4 windows (0.5%)
   - Merk-ST01b-AL(sp): 4 windows (0.5%)
   - Merk-AL08(29): 4 windows (0.5%)
   - Merk-AL01(34): 4 windows (0.5%)
   - Merk-AL01(35): 4 windows (0.5%)
   - Merk-ST04b-AL: 3 windows (0.4%)
   - Merk-ST04b-AL(sp): 3 windows (0.4%)
   - Merk-AL17sp(29): 3 windows (0.4%)
   - Merk-bi-al-07: 3 windows (0.4%)
   - Merk-AL01sp(30): 3 windows (0.4%)
   - Merk-AL02sp(31): 3 windows (0.4%)
   - Merk-AL9Csp(35): 3 windows (0.4%)
   - Merk-ST01f-AL(sp): 3 windows (0.4%)
   - Merk-ST01f-AL: 3 windows (0.4%)
   - Merk-AL03(34): 3 windows (0.4%)
   - Merk-ST05-AL: 2 windows (0.2%)
   - Merk-AL21: 2 windows (0.2%)
   - Merk-AL01sp(31): 2 windows (0.2%)
   - Merk-AL02sp(29): 2 windows (0.2%)
   - sp: 2 windows (0.2%)
   - 32-DD-controleluik: 2 windows (0.2%)
   - Merk-AL06(29): 2 windows (0.2%)
   - Merk-AL01(30): 2 windows (0.2%)
   - Merk-AL08(31): 2 windows (0.2%)
   - Merk-AL01sp(29): 2 windows (0.2%)
   - Merk-AL03(32): 2 windows (0.2%)
   - Merk-ST01n-AL: 2 windows (0.2%)
   - Merk-AL02(36): 2 windows (0.2%)
   - Merk-AL01(37): 2 windows (0.2%)
   - Merk-AL02(34): 2 windows (0.2%)
   - Merk-ST05e-AL: 2 windows (0.2%)
   - Merk-AL03(38): 2 windows (0.2%)
   - Merk-AL03(36): 2 windows (0.2%)
   - Merk-ST05g-AL: 2 windows (0.2%)
   - Merk-AL15(29): 2 windows (0.2%)
   - Merk-ST01h-AL: 2 windows (0.2%)
   - Merk-ST01i-AL: 2 windows (0.2%)
   - Merk-ST01i-AL(sp): 2 windows (0.2%)
   - Merk-AL22: 1 windows (0.1%)
   - Merk-AL22B: 1 windows (0.1%)
   - Merk-ST04c-AL: 1 windows (0.1%)
   - Merk-ST08-AL: 1 windows (0.1%)
   - Merk-ST07-AL: 1 windows (0.1%)
   - Merk-ST07c-AL: 1 windows (0.1%)
   - Merk-ST01j-AL: 1 windows (0.1%)
   - Merk-AL01Fsp(35): 1 windows (0.1%)
   - Merk-ST01k-AL: 1 windows (0.1%)
   - Merk-AL07: 1 windows (0.1%)
   - Merk-ST-01a-AL(sp): 1 windows (0.1%)
   - Merk-ST01b-AL: 1 windows (0.1%)
   - Merk-AL01(31): 1 windows (0.1%)
   - Merk-ST01b-Al(sp): 1 windows (0.1%)
   - Merk-ST01c_AL: 1 windows (0.1%)
   - Merk-ST01d-AL: 1 windows (0.1%)
   - Merk-ST01d-AL(sp): 1 windows (0.1%)
   - Merk-ST06b-AL: 1 windows (0.1%)
   - Merk-AL14: 1 windows (0.1%)
   - Merk-AL13SP(29): 1 windows (0.1%)
   - Merk-AL13(29): 1 windows (0.1%)
   - Merk-ST01g-AL(sp): 1 windows (0.1%)
   - Merk-ST01e-AL(sp): 1 windows (0.1%)
   - Merk-ST01g-AL: 1 windows (0.1%)
   - Merk-ST01e-AL: 1 windows (0.1%)
   - Merk-ST07b-AL: 1 windows (0.1%)
   - Merk-ST06d-AL: 1 windows (0.1%)
   - Merk-AL16: 1 windows (0.1%)
   - gorter_RHT_Verzamelbestand:RHT9090:306675: 1 windows (0.1%)</t>
  </si>
  <si>
    <t>What is the largest window width used in the building?</t>
  </si>
  <si>
    <t>Largest Window Width: 5070 mm
   Window Type: Merk-bi-al-07</t>
  </si>
  <si>
    <t>What is the smallest window width used in the building?</t>
  </si>
  <si>
    <t>Smallest Window Width: 200 mm
   Window Type: 32_DD_inspectieluik Gyproc</t>
  </si>
  <si>
    <t>Total Unique Wall Materials: 21
   Wall Materials Used:
   - DD Aluminium kozijnen
   - DD Gipsplaat
   - DD HSB wand invulling 100 zonder iso
   - DD Hout - Multiplex
   - DD Isolatie  geluid werend
   - DD Naaldhout
   - DD Steen - Kalkzandsteen
   - DD Ytong G4
   - DD Ytong G5
   - DD dakbedekking
   - DD gasbeton
   - DD glas douchwand
   - DD inbouw reservoir
   - DD isolatie H
   - DD loggia afwerking
   - DD prefabbeton gevel
   - DD prefabbeton randen
   - DD steun wand tbv kozijnen
   - DD terras afwerking
   - Glas
   - Lucht binnenwandafwerking + C-profiel 75_DD
   Wall Type Material Compositions:
   22_Wall_DD-ytong G5/800 :
     - DD Ytong G5
   21_Wall_DD-spouwisolatie :
     - DD isolatie H
   21_Wall_DD-kalkzandsteen dik 120mm:
     - DD Aluminium kozijnen
     - DD Steen - Kalkzandsteen
   21_Wall_DD-spouwisolatie:
     - DD isolatie H
   22-Wall_DD-mst  voorzetwand gang:
     - DD Gipsplaat
     - Lucht binnenwandafwerking + C-profiel 75_DD
   22_Wall_DD-kalkzandsteen:
     - DD Steen - Kalkzandsteen
   Unnamed Wall:
     - DD prefabbeton gevel
   41_Wall_DD-wandafwerking loggia:
     - DD loggia afwerking
   31-dd-wand tbv buitenkozijnen:
     - DD Aluminium kozijnen
   74_Wall_DD-douchewand:
     - DD glas douchwand</t>
  </si>
  <si>
    <t>Exterior Wall Materials:
   - DD Aluminium kozijnen
   - DD Gipsplaat
   - DD Hout - Multiplex
   - DD Naaldhout
   - DD dakbedekking
   - DD gasbeton
   - DD isolatie H
   - DD loggia afwerking
   - DD prefabbeton gevel
   - DD prefabbeton randen
   - DD terras afwerking</t>
  </si>
  <si>
    <t>Interior Wall Materials:
   - DD Aluminium kozijnen
   - DD Gipsplaat
   - DD HSB wand invulling 100 zonder iso
   - DD Hout - Multiplex
   - DD Isolatie  geluid werend
   - DD Naaldhout
   - DD Steen - Kalkzandsteen
   - DD Ytong G4
   - DD Ytong G5
   - DD glas douchwand
   - DD inbouw reservoir
   - DD isolatie H
   - DD steun wand tbv kozijnen
   - Glas
   - Lucht binnenwandafwerking + C-profiel 75_DD</t>
  </si>
  <si>
    <t>Wall Thickness by Type:
   - 22_Wall_DD-ytong G5/800 : 100mm
   - 21_Wall_DD-spouwisolatie : 145mm
   - 21_Wall_DD-kalkzandsteen dik 120mm: 10-120mm (avg: 118mm)
   - 21_Wall_DD-spouwisolatie: 145-160mm (avg: 146mm)
   - 22-Wall_DD-mst  voorzetwand gang: 88-100mm (avg: 88mm)
   - 22_Wall_DD-kalkzandsteen: 100-150mm (avg: 117mm)
   - 31-dd-wand tbv buitenkozijnen: 10mm
   - 74_Wall_DD-douchewand: 10mm
   - 22_Wall_DD-steunwand daloc deuren: 70mm
   - 22_Wall_DD-gipsplaat: 10mm
   - 22-Wall_DD-mst  voorzetwand: 88-100mm (avg: 88mm)
   - 21_Wall_DD-spouwisolatie dik 150mm: 145-150mm (avg: 150mm)
   - 22_Wall_DD_Gyproc 2x12,5: 25mm
   - 22_Wall_DD_Gyproc GF 180 /75 75.2 AA: 100mm
   - 31-dd-aluminiumkoof: 10mm</t>
  </si>
  <si>
    <t>Wall length calculation is not available from the current model data.</t>
  </si>
  <si>
    <t>Accurate total gross floor area is not available due to lack of space area data.
   Approximate total gross floor area for each building storey:
   - 00 begane grond (Ground Floor) to 07 zevende verdieping (Seventh Floor): 1037 sq m each
   - 08 achtste verdieping (Eighth Floor): 946 sq m
   - 09 negende verdieping (Ninth Floor): 866 sq m
   - 10 tiende verdieping (Tenth Floor): 782 sq m
   - 11 elfde verdieping (Eleventh Floor): 697 sq m
   - 12 twaalfde verdieping (Twelfth Floor): 613 sq m
   - 13 dertiende verdieping (Thirteenth Floor): 528 sq m
   - 14 veertiende verdieping (Fourteenth Floor): 444 sq m
   - 15 vijftiende verdieping (Fifteenth Floor): 444 sq m
   - 16 zestiende verdieping (Sixteenth Floor): 360 sq m
Total gross floor area of the building: 13976 sq m</t>
  </si>
  <si>
    <t>Building Level Elevations and Heights:
   - -1 fundering (Foundation): -1.0m elevation
   - 00 begane grond (Ground Floor): 0.0m elevation
     Floor-to-floor height: 4.5m
   - 01 eerste verdieping (First Floor): 4.5m elevation
     Floor-to-floor height: 3.2m
   - 02 tweede verdieping (Second Floor): 7.7m elevation
     Floor-to-floor height: 3.2m
   - 03 derde verdieping (Third Floor): 10.9m elevation
     Floor-to-floor height: 3.2m
   - 04 vierde verdieping (Fourth Floor): 14.1m elevation
     Floor-to-floor height: 3.2m
   - 05 vijfde verdieping (Fifth Floor): 17.3m elevation
     Floor-to-floor height: 3.2m
   - 06 zesde verdieping (Sixth Floor): 20.5m elevation
     Floor-to-floor height: 3.2m
   - 07 zevende verdieping (Seventh Floor): 23.7m elevation
     Floor-to-floor height: 3.2m
   - 08 achtste verdieping (Eighth Floor): 26.9m elevation
     Floor-to-floor height: 3.2m
   - 09 negende verdieping (Ninth Floor): 30.1m elevation
     Floor-to-floor height: 3.2m
   - 10 tiende verdieping (Tenth Floor): 33.3m elevation
     Floor-to-floor height: 3.2m
   - 11 elfde verdieping (Eleventh Floor): 36.5m elevation
     Floor-to-floor height: 3.2m
   - 12 twaalfde verdieping (Twelfth Floor): 39.7m elevation
     Floor-to-floor height: 3.2m
   - 13 dertiende verdieping (Thirteenth Floor): 42.9m elevation
     Floor-to-floor height: 3.2m
   - 14 veertiende verdieping (Fourteenth Floor): 46.1m elevation
     Floor-to-floor height: 3.2m
   - 15 vijftiende verdieping (Fifteenth Floor): 49.3m elevation
     Floor-to-floor height: 3.2m
   - 16 zestiende verdieping (Sixteenth Floor): 52.5m elevation
     Floor-to-floor height: 3.2m
   - 17 dak (Roof): 55.7m elevation
   - FInal building height above ground: 57 m</t>
  </si>
  <si>
    <t>Total Coverings: 4147
   Covering Types by Function:
   - NOTDEFINED: 3846 coverings (92.7%)
   - CEILING: 301 coverings (7.3%)
   Covering Types by Name:
   - 42_Wall_DD-gipsplaat: 923 coverings (22.3%)
   - 42_Wall_DD-gipsplaat : 690 coverings (16.6%)
   - 42_Covering_DD-gipsplaat: 461 coverings (11.1%)
   - 42_Wall_DD-Habito: 456 coverings (11.0%)
   - 42_Wall_DD-afwerkstrook: 228 coverings (5.5%)
   - 31-dd-alum lekdorpel: 206 coverings (5.0%)
   - 42_Wall_DD-gipsplaat dik 12,5mm: 190 coverings (4.6%)
   - 42_ceiling_DD-gipsplaat: 156 coverings (3.8%)
   - 61-covering-DD-inbouwarmatuur: 152 coverings (3.7%)
   - 45_Ceiling_DD-plafond isolatie: 116 coverings (2.8%)
   Wall Finishes:
   - 42_Wall_DD-gipsplaat: 923 items
   - 42_Wall_DD-gipsplaat : 690 items
   - 42_Covering_DD-gipsplaat: 461 items
   - 24_Wall_DD-staal: 1 items
   - 42_Wall_DD-Habito: 456 items
   Ceiling Finishes:
   - 42_ceiling_DD-gipsplaat: 156 items
   - 45_Ceiling_DD-buitenplafond hoofdentree: 2 items
   - 45_Ceiling_DD-plafond isolatie: 116 items
   - 45_DD_plafond: 15 items
   - 45_Ceiling_DD-buitenplafond isolatie hoofdentree: 1 items
   - 45-Ceiling_DD-buitenplafond loggia: 80 items
   - sp45_Ceiling_DD-plafond isolatie: 1 items
   - sp46-Ceiling_DD-buitenplafond loggia: 1 items
   - 46-Ceiling_DD-buitenplafond loggia: 1 items
   - 45_ceiling_DD-gipsplaat: 1 items</t>
  </si>
  <si>
    <t>Ceiling Materials:
   - DD Aluminium
   - DD Gipsplaat
   - DD Isolatie  geluid werend
   - DD isolatie H
   - DD plafond geluid werend 
   - Gipsplaat</t>
  </si>
  <si>
    <t>Total Furniture Elements: 722
   Furniture Types and Quantities:
   - 84-dd-Interieur-droger- wm: 210 items (29.1%)
   - 74_Furniture_DD-toilet: 121 items (16.8%)
   - 73_Furniture_DD-keuken blok: 117 items (16.2%)
   - 74_Furniture_DD-hoekfontein: 109 items (15.1%)
   - 51-DD-bouwkundige-techniekkast: 105 items (14.5%)
   - 74_Furniture_DD-wastafel: 36 items (5.0%)
   - 90-DD-bloembak: 16 items (2.2%)
   - 61-DD-bouwkundige elektrakast: 7 items (1.0%)
   - Interieur-x: 1 items (0.1%)
   Kitchen Furniture:
   - 73_Furniture_DD-keuken blok: 117 items
   Bathroom Furniture:
   - 74_Furniture_DD-toilet: 121 items
   - 74_Furniture_DD-hoekfontein: 109 items
   - 74_Furniture_DD-wastafel: 36 items
   Utility/Technical Furniture:
   - 84-dd-Interieur-droger- wm: 210 items
   - 51-DD-bouwkundige-techniekkast: 105 items
   - 61-DD-bouwkundige elektrakast: 7 items</t>
  </si>
  <si>
    <t>Total Stairs: 71
   Stair Types:
   - 24_DD_ betontrap: 32 stairs (45.1%)
   - 24_stair_DD_trapbordes: 18 stairs (25.4%)
   - 24-DD-stalentrap verd: 14 stairs (19.7%)
   - Trap_DD-trap woning type F: 2 stairs (2.8%)
   - Trap_DD-trap woning type G: 2 stairs (2.8%)
   - 24-DD-stalen trap beganegrond: 1 stairs (1.4%)
   - 28_stair_DD_trapbordes: 1 stairs (1.4%)
   - DD-KOOILADDER: 1 stairs (1.4%)
   Concrete Stairs:
   - 24_DD_ betontrap: 32 stairs
   Steel Stairs:
   - 24-DD-stalen trap beganegrond: 1 stairs
   - 24-DD-stalentrap verd: 14 stairs
   Stair Landings:
   - 24_stair_DD_trapbordes: 18 landings
   - 28_stair_DD_trapbordes: 1 landings</t>
  </si>
  <si>
    <t>Total Railings: 176
   Railing Types:
   - 34-railing-DD-balustrade: 70 railings (39.8%)
   - 34_Railing_DD_balustrade betontrap: 31 railings (17.6%)
   - 34-dd_BALUSTRADE TERRAS: 24 railings (13.6%)
   - 34-DD-leuning stalen trap verd: 14 railings (8.0%)
   - 34-DD-balustrade stalentrap verd: 14 railings (8.0%)
   - Unnamed Railing: 12 railings (6.8%)
   - 34-DD-balustrade 2 stalentrap verd: 5 railings (2.8%)
   - 34-DD-leuning stalentrap begane grond: 1 railings (0.6%)
   - 40_Railing_DD_balustrade betontrap: 1 railings (0.6%)
   - 34_Railing_DD_balustrade 25e verd: 1 railings (0.6%)
   - 48_DD_afschot dak isolatie: 1 railings (0.6%)
   - 49_DD_afschot dak isolatie: 1 railings (0.6%)
   - 34_Railing_DD_balustrade 16e verd: 1 railings (0.6%)
   Railing Materials:
   - DD Aluminium
   - DD isolatie H
   - DD prefabbeton
   - DD staal
   - Glas</t>
  </si>
  <si>
    <t>Doors with fire rating information: 153/1049
   Door Types with Fire Rating:
   - merk-bI- DALOC S23: 30 minuten brandwerend (53 doors)
   - merk-bI- DALOC S23SP: 30 minuten brandwerend (52 doors)
   - merk-bi-al-04: 20 (16 doors)
   - Merk AL25: 30 minuten brandwerend en zelfsluitend (1 doors)
   - Merk AL26: 30 minuten brandwerend en zelfsluitend (1 doors)
   - merk-bi-al-05: 30 minuten brandwerend en zelfsluitend (1 doors)
   - merk-bi-al-06: Zelfsluitend (1 doors)
   - merk-bi-al-01: Zelfsluitend (13 doors)
   - merk-bi-al-02: 30 minuten brandwerend en zelfsluitend (15 doors)</t>
  </si>
  <si>
    <t>Windows with fire rating information: 17/850
   Window Types with Fire Rating:
   - Merk-AL22: Zelfsluitend (1 windows)
   - Merk-AL20: 30 minuten brandwerend (16 windows)</t>
  </si>
  <si>
    <t>Total Beams: 41
   Beam Types:
   - 31-dd-onderdorpel beganegrond: 27 beams (65.9%)
   - 24_Beam_DD_schalmgat afwerking: 14 beams (34.1%)
   Beam Materials:
   - DD prefabbeton</t>
  </si>
  <si>
    <t>Structural System Analysis:
   Building: 19-story residential structure
   Primary System: Reinforced concrete structure with a flat slab‚Äìcolumn system for gravity loads, and reinforced concrete shear walls for lateral stability. Along with a deep foundation system.
   Structural Framework:
   - Main vertical load-bearing: 210 concrete columns
   - Floor system: 70 reinforced concrete slabs
   - Horizontal load-bearing: The connection of columns to slabs indicate a flat plate system
   - Lateral resistance: 595 structural concrete walls
   Foundation System:
   - Deep foundation: 146 concrete piles and 106 concrete footings</t>
  </si>
  <si>
    <t>Column System Overview:
   Total Columns: 387
   Specific Column Types:
   - 28_SC_AT_kolom koker_gen:kolom_gen_K80x80x3,6: 168 units (43.4%)
   - 28_SC_AT_kolom vierkant prefab:kolom vierkant_gen_lxb 220x875: 60 units (15.5%)
   - 28_SC_AT_kolom vierkant prefab:kolom vierkant_gen_lxb 220x1118: 50 units (12.9%)
   - 28_SC_AT_kolom vierkant prefab:kolom vierkant_gen_lxb 150x1118: 20 units (5.2%)
   - 28_SC_AT_kolom vierkant prefab:kolom vierkant_gen_lxb 220x824: 18 units (4.7%)
   - 28_SC_AT_kolom vierkant prefab:kolom vierkant_gen_lxb 250x1118: 13 units (3.4%)
   - 28_SC_AT_kolom vierkant prefab:kolom vierkant_gen_lxb 250x824: 12 units (3.1%)
   - 28_SC_AT_kolom vierkant prefab:kolom vierkant_gen_lxb 350x350: 12 units (3.1%)
   - 28_SC_AT_kolom vierkant prefab:kolom vierkant_gen_lxb 300x500: 8 units (2.1%)
   - 28_SC_AT_kolom vierkant beton:kolom vierkant_gen_lxb 500x800 (C35/45): 4 units (1.0%)
   - 28_SC_AT_kolom vierkant prefab:kolom vierkant_gen_lxb 300x824: 4 units (1.0%)
   - 28_SC_AT_kolom vierkant beton:kolom vierkant_gen_lxb 500x500 (C35/45): 4 units (1.0%)
   - 28_SC_AT_kolom vierkant prefab:kolom vierkant_gen_lxb 400x400: 2 units (0.5%)
   - 28_SC_AT_kolom koker_gen:kolom_gen_K140x140x6,3: 2 units (0.5%)
   - 28_SC_AT_kolom vierkant prefab:kolom vierkant_gen_lxb 220x920: 2 units (0.5%)
   - 28_SC_AT_kolom koker_gen:kolom_gen_K150x100x8: 2 units (0.5%)
   - 28_SC_AT_kolom koker_gen:kolom_gen_K150x100x6,3: 2 units (0.5%)
   - 28_SC_AT_kolom koker_gen:kolom_gen_K250x150x10: 2 units (0.5%)
   - 28_SC_AT_kolom vierkant prefab:kolom vierkant_gen_lxb 250x934: 1 units (0.3%)
   - 28_SC_AT_kolom koker_gen:kolom_gen_K50x50x5: 1 units (0.3%)
   Column Materials Summary:
   - Concrete columns: 210 units (54.3%)
   - Steel columns: 177 units (45.7%)
   Concrete Column Specifications:
   - Total concrete volume: 136.77 cu m
   - Average Width: 241 mm (range: 150-500 mm)
   - Average Depth: 906 mm (range: 350-1118 mm)</t>
  </si>
  <si>
    <t>Footing System Overview:
   Total Footings: 106
   Specific Footing Types:
   - 16_SFO_AT_balk vierkant beton:fundbalk 700x700 C30/37: 21 units (19.8%)
   - 16_SFO_AT_balk vierkant beton:fundbalk 1000x600 (C30/37): 13 units (12.3%)
   - 16_SFO_AT_balk vierkant beton.:opstorting b=400_(C30/37): 12 units (11.3%)
   - 16_SFO_AT_balk vierkant beton:fundbalk 700x1500 (C30/37): 6 units (5.7%)
   - 16_SFO_AT_balk vierkant beton:fundbalk 100x700x1500 (C30/37): 5 units (4.7%)
   - 16_SFO_AT_balk vierkant beton:fundbalk 100x700x700 (C30/37): 5 units (4.7%)
   - 16_SC_AT_opstorting vierkant beton_generiek:opstorting vierkant_gen_lxb 800x1100 (C30/37): 4 units (3.8%)
   - 16_SFO_AT_balk vierkant beton:balk vierkant_gen_500x800 (C30/37): 4 units (3.8%)
   - 16_SFO_AT_balk vierkant beton:fundbalk 700x1000 (C30/37): 3 units (2.8%)
   - 16_SC_AT_opstorting vierkant beton_generiek:opstorting vierkant_gen_lxb 800x800 (C30/37): 3 units (2.8%)
   - 16_SFO_AT_balk vierkant beton:fundbalk 950x1500 (C30/37): 3 units (2.8%)
   - 16_SFO_AT_balk vierkant beton:fundbalk 735x1500 (C30/37): 2 units (1.9%)
   - 16_SFO_AT_Fundatiepoer:2700x2700x1500 (C30/37): 2 units (1.9%)
   - 16_SFO_AT_Fundatiepoer:2700x2500x1500 (C30/37): 2 units (1.9%)
   - 16_SFO_AT_balk vierkant beton:fundbalk 950x600 (C30/37): 2 units (1.9%)
   - 16_SFO_AT_balk vierkant beton.:opstorting b=325_(C30/37): 2 units (1.9%)
   - 16_SFO_AT_balk vierkant beton.:opstorting b=250_(C30/37): 2 units (1.9%)
   - 16_SFO_AT_balk vierkant beton:fundbalk 600x600 (C30/37): 2 units (1.9%)
   - 16_SFO_AT_balk vierkant beton:fundbalk 700x600 C30/37: 2 units (1.9%)
   - Foundation Slab:16_SFO_AT_fundatievloer_540 (C30/37): 1 units (0.9%)
   - 16_SFO_AT_balk vierkant beton:fundbalk 735x600 (C30/37): 1 units (0.9%)
   - 16_SFO_AT_balk vierkant beton:fundbalk 950x1000 (C30/37): 1 units (0.9%)
   - 16_SFO_AT_balk vierkant beton.:opstorting b=300_(C30/37): 1 units (0.9%)
   - 16_SFO_AT_balk vierkant beton.:opstorting b=350_(C30/37): 1 units (0.9%)
   - 16_SFO_AT_balk vierkant beton:fundbalk 1273x600 (C30/37): 1 units (0.9%)
   - 16_SFO_AT_balk vierkant beton:fundbalk 950x700 C30/37: 1 units (0.9%)
   - 16_SFO_AT_balk vierkant beton:fundbalk 1000x700 (C30/37): 1 units (0.9%)
   - 16_SFO_AT_balk vierkant beton:fundbalk 1273x700 (C30/37): 1 units (0.9%)
   - 16_SFO_AT_Fundatiepoer:2817x6730x1500 (C30/37): 1 units (0.9%)
   - 16_SFO_AT_balk vierkant beton:fundbalk 300x600x700 (C30/37): 1 units (0.9%)
   Footing Materials Summary:
   - Concrete: 106 footings (100.0%)
Footing Types:
   - Foundation system includes both individual footings and foundation beams
   Foundation Strategy:
   - Combined approach: 106 footings + 146 piles</t>
  </si>
  <si>
    <t>How many piles are used in this building?</t>
  </si>
  <si>
    <t>Pile Foundation System:
   Total Piles: 146 piles
   Specific Pile Types:
   - 17_SFO_AT_fundatiepaal_rond:Type 6_A-1: 86 piles (58.9%)
   - 17_SFO_AT_fundatiepaal_rond:Type 6_A-3: 32 piles (21.9%)
   - 17_SFO_AT_fundatiepaal_rond:Type 6_A-4: 15 piles (10.3%)
   - 17_SFO_AT_fundatiepaal_rond:Type 6_A-2: 8 piles (5.5%)
   - 17_SFO_AT_fundatiepaal_rond:Type 6_A-5: 4 piles (2.7%)
   - 17_SFO_AT_fundatiepaal_rond:Type 6_B-1: 1 piles (0.7%)</t>
  </si>
  <si>
    <t>Beam System Overview:
   Total Beams: 354
   Specific Beam Types:
   - 28_SF_AT_balk hoeklijn_gen:balk_gen_L200x200x20: 191 units (54.0%)
   - 300_28_AT_balk_Z_profiel:Z-staal_H=240: 45 units (12.7%)
   - 300_28_AT_balk_Z_profiel:Z-staal_H=220: 44 units (12.4%)
   - 28_SF_AT_balk hoeklijn:balk_gen_L150x150x12: 34 units (9.6%)
   - 28_SF_AT_balk koker_gen:balk_gen_K120x120x8: 10 units (2.8%)
   - 28_SF_AT_balk vierkant beton:balk vierkant_gen_250x710 (C25/30): 8 units (2.3%)
   - 28_SF_AT_balk HE:balk HE_gen_HEA400: 6 units (1.7%)
   - 28_SF_AT_balk HE:balk HE_gen_HEA320_gerberen_togen: 3 units (0.8%)
   - 28_SF_AT_balk UNP_gen:balk UNP_gen_280: 3 units (0.8%)
   - 28_SF_AT_balk koker_gen:balk_gen_K200x120x8: 2 units (0.6%)
   - 28_SF_AT_balk vierkant beton:balk vierkant_gen_500x1200 (C35/45): 2 units (0.6%)
   - 28_SF_AT_balk UNP_gen:balk UNP_gen_280 (S355): 2 units (0.6%)
   - 28_SF_AT_balk vierkant beton:balk vierkant_gen_500x800 (C35/45): 1 units (0.3%)
   - 28_SF_AT_balk eenzijdige sponning beton:balk eenzijdige sponning_gen_500x900 /138x60 (C35/45): 1 units (0.3%)
   - 28_SF_AT_balk koker:balk_gen_K120x120x6: 1 units (0.3%)
   - 28_SF_AT_balk koker_gen:balk_gen_K50x50x5: 1 units (0.3%)
   Beam Materials Summary:
   - Steel beams: 342 units (96.6%)
   - Concrete beams: 12 units (3.4%)
   Beam Material Quantities:
   - Concrete beam volume: 20.76 cu m
   - Steel beam length: 390.02 m
   Steel Beam Profiles:
   - HE400: 6 beams (1.8%)
   - HE320: 3 beams (0.9%)
   Beam Applications:
   - Primary structure: Steel beams provide main horizontal load-bearing capacity
   - Floor support: Beams support concrete slab system
   - Span capability: Steel sections enable longer spans and flexible layouts</t>
  </si>
  <si>
    <t>How much concrete is used in this building?</t>
  </si>
  <si>
    <t>How much steel is used in this building?</t>
  </si>
  <si>
    <t>Steel Quantity Analysis:
   Total steel beam length: 390.02 meters
   Specific Steel Beam Types by Length:
   - 28_SF_AT_balk HE:balk HE_gen_HEA400: 131.28 m (33.7%)
   - 28_SF_AT_balk HE:balk HE_gen_HEA320_gerberen_togen: 65.64 m (16.8%)
   - 28_SF_AT_balk hoeklijn_gen:balk_gen_L200x200x20: 52.60 m (13.5%)
   - 28_SF_AT_balk hoeklijn:balk_gen_L150x150x12: 38.24 m (9.8%)
   - 28_SF_AT_balk koker_gen:balk_gen_K120x120x8: 35.24 m (9.0%)
   - 28_SF_AT_balk UNP_gen:balk UNP_gen_280: 18.00 m (4.6%)
   - 300_28_AT_balk_Z_profiel:Z-staal_H=220: 13.93 m (3.6%)
   - 28_SF_AT_balk UNP_gen:balk UNP_gen_280 (S355): 10.94 m (2.8%)
   - 300_28_AT_balk_Z_profiel:Z-staal_H=240: 9.00 m (2.3%)
   - 28_SF_AT_balk koker:balk_gen_K120x120x6: 7.14 m (1.8%)
   - 28_SF_AT_balk koker_gen:balk_gen_K200x120x8: 7.06 m (1.8%)
   - 28_SF_AT_balk koker_gen:balk_gen_K50x50x5: 0.96 m (0.2%)
   Steel Distribution by Profile:
   - HE400: 131.28 m (33.7%)
   - HE320: 65.64 m (16.8%)</t>
  </si>
  <si>
    <t>What foundation system is used in this building?</t>
  </si>
  <si>
    <t>Foundation System Overview:
   Deep foundation system consisting of 146 piles and 106 footings.</t>
  </si>
  <si>
    <t>Electrical System Overview:
   Total Electrical Components: 19,495
   Electrical Circuits: 50 independent circuits
   Distribution Boards: 105 Hager distribution panels
   Electrical Components by Category:
   - Electrical Fixtures: 7,589 components (38.9%)
   - Conduits: 7,252 components (37.2%)
   - Lighting Fixtures: 1,490 components (7.6%)
   - Conduit Fittings: 1,309 components (6.7%)
   - Lighting Devices: 960 components (4.9%)
   - Data Devices: 569 components (2.9%)
   - Pipes: 112 components (0.6%)
   - Communication Devices: 105 components (0.5%)
   - Pipe Fittings: 64 components (0.3%)
   - Cable Trays: 25 components (0.1%)
   - Cable Tray Fittings: 17 components (0.1%)
   - Generic Models: 1 components (0.0%)
   - Electrical Equipment: 1 components (0.0%)
   - Telephone Devices: 1 components (0.0%)
   System Distribution:
   - Cable management: 8,561 components
   - Lighting systems: 2,450 components
   - Power distribution: 7,589 fixtures
   - Data/Communication: 674 devices</t>
  </si>
  <si>
    <t>Total Lighting Components: 2,450
   - Lighting Fixtures: 1,490 units
   - Lighting Devices: 960 units
   Lighting Fixture Types:
   - E_111502_FB_MEPcontent:Recessed: 1216 fixtures (81.6%)
   - LED2400:L: 141 fixtures (9.5%)
   - E_E00172_FB_MEPcontent:Default: 89 fixtures (6.0%)
   - BE_E Armatuur_ETAP R8R1_VERWERKTSC:B: 17 fixtures (1.1%)
   - E_Quadrayil:E: 16 fixtures (1.1%)
   - S4R_1115B6W49_FR:Anv: 3 fixtures (0.2%)
   - S4R_1115B6W49_FR:A: 3 fixtures (0.2%)
   - S4R_E00172_FR:C: 3 fixtures (0.2%)
   - S4R_1115B6W49_FR:Onb.: 2 fixtures (0.1%)
   Lighting Device Types:
   - E_1114A1_FR_MEPcontent:Recessed-Schakelaar enkelpolig: 417 devices (43.4%)
   - E_111405_FR_MEPcontent:Recessed: 257 devices (26.8%)
   - E_111404_FR_MEPcontent:Recessed: 105 devices (10.9%)
   - S4R_111410_FR:Default: 105 devices (10.9%)
   - E_111406_FR_MEPcontent:Recessed-Schakelaar wisselpolig: 72 devices (7.5%)
   - E_111502_FB_MEPcontent-leeg:Recessed: 4 devices (0.4%)</t>
  </si>
  <si>
    <t>Electrical Receptacles Analysis:
   Total Electrical Fixtures: 7,589
   Identified Receptacles: 101
   Receptacle Types:
   - E_Socket_1F with Earth 1_F_MEPcontent:Recessed: 101 units</t>
  </si>
  <si>
    <t>Electrical Switches Analysis:
   Identified Switches: 109
   Switch Types:
   - E_E00078_FR_MEPcontent:Default-lichtpunt asp: 109 units</t>
  </si>
  <si>
    <t>Electrical Distribution Equipment:
   Total Distribution Boards: 105
   Distribution Board Types:
   - E_Distribution Board_F_MEPcontent_Hager_Vision_INT-EN:VKA2: 30 boards (28.6%)
   - E_Distribution Board_F_MEPcontent_Hager_Vision_INT-EN:VKD2: 14 boards (13.3%)
   - E_Distribution Board_F_MEPcontent_Hager_Vision_INT-EN:VKD3: 14 boards (13.3%)
   - E_Distribution Board_F_MEPcontent_Hager_Vision_INT-EN:VKB1: 10 boards (9.5%)
   - E_Distribution Board_F_MEPcontent_Hager_Vision_INT-EN:VKB3: 6 boards (5.7%)
   - E_Distribution Board_F_MEPcontent_Hager_Vision_INT-EN:VKB2: 6 boards (5.7%)
   - E_Distribution Board_F_MEPcontent_Hager_Vision_INT-EN:VKC: 6 boards (5.7%)
   - E_Distribution Board_F_MEPcontent_Hager_Vision_INT-EN:VKA1: 6 boards (5.7%)
   - E_Distribution Board_F_MEPcontent_Hager_Vision_INT-EN:VKE: 4 boards (3.8%)
   - E_Distribution Board_F_MEPcontent_Hager_Vision_INT-EN:VKE-a: 2 boards (1.9%)
   - E_Distribution Board_F_MEPcontent_Hager_Vision_INT-EN:VKB1-a: 2 boards (1.9%)
   - E_Distribution Board_F_MEPcontent_Hager_Vision_INT-EN:VKF: 2 boards (1.9%)
   - E_Distribution Board_F_MEPcontent_Hager_Vision_INT-EN:VKD1: 1 boards (1.0%)
   - E_Distribution Board_F_MEPcontent_Hager_Vision_INT-EN:VKG2: 1 boards (1.0%)
   - E_Distribution Board_F_MEPcontent_Hager_Vision_INT-EN:VKG1: 1 boards (1.0%)
   Distribution System Summary:
   - Manufacturer: Hager (Vision series)
   - Total circuits: 50 independent electrical circuits
   - Board distribution: 15 different board types</t>
  </si>
  <si>
    <t>Cable Insulation and Routing Systems:
   Total Cable Management Components: 8,603
   Cable Routing Systems:
   - Conduits: 7,252 segments
   - Conduit fittings: 1,309 fittings
   - Cable trays: 25 segments
   - Cable tray fittings: 17 fittings
   Conduit System Details:
   Conduit materials: PVC flexible conduits and cable trays
   Cable tray materials: Generic steel cable tray</t>
  </si>
  <si>
    <t>Total Conduit Length Analysis:
   - Total conduit segments: 7,389
   - Segments with length data: 7,389
   - Total conduit length: 11,460.3 meters
   Length Distribution:
   - Building spans 19 floors
   - Average conduit per floor: 603.2 meters</t>
  </si>
  <si>
    <t>Conduit Materials Analysis:
   Materials by conduit type:
   - PVC: 6860 segments (92.8%)
   Materials from specifications:
   - Cable Tray with Fittings: S4Rx_Generic_CableTray: 25 references
   Primary Conduit Materials:
   - PVC: Flexible electrical conduits
   - Steel: Cable trays and rigid conduit systems</t>
  </si>
  <si>
    <t>How many junction boxes are used here?</t>
  </si>
  <si>
    <t>Junction Box Count Summary:
   - Dedicated junction boxes: 4424
   - Conduit junction fittings: 1,309
   - Cable connection points: 283
   - Total junction components: 6,016
   Junction Density Analysis:
   - Junction components per floor: 316.6
   - Junction components per 100m conduit: 52.5</t>
  </si>
  <si>
    <t>How much flexible cable pipe is used in this building?</t>
  </si>
  <si>
    <t>Flexible Cable Pipe Analysis:
   - Total flexible components: 176
   - Flexible segments: 112
   - Flexible fittings: 64
   - Total flexible conduit length: 124,451 mm
   - Total flexible conduit length: 124.5 meters
   - Flexible conduit proportion: 1.1% of total conduit
   Flexible Component Types:
   - Onbepaald Flexibel_PVC_flexibel: 112 components
   - M_Bend_Circular Bendable_Onbepaald Flexibel_Flexible Pipe: 64 components</t>
  </si>
  <si>
    <t>Where are the flexible pipes located?</t>
  </si>
  <si>
    <t>Data and Communication Systems:
   - Data devices: 569 units
   - Communication devices: 105 units
   - Telephone devices: 1 units
   - Total data/comm devices: 675 units
   Data Device Types:
   - S4R_E00139_FR:Default: 359 devices (63.1%)
   - E_E00008_FR_MEPcontent:Recessed: 210 devices (36.9%)</t>
  </si>
  <si>
    <t>Cable Tray System Analysis:
   - Cable tray segments: 25 units
   - Cable tray fittings: 17 fittings
   - Total cable tray components: 42 units
   Cable Tray Types:
   - Cable Tray with Fittings:S4Rx_Generic_CableTray: 25 segments</t>
  </si>
  <si>
    <t>What is the electrical equipment distribution by building level?</t>
  </si>
  <si>
    <t>Electrical Equipment Distribution by Level:
   Total elements analyzed: 19,495
   Elements with level data: 19,495
   Distribution by Building Level:
   -1 Fundering: 61 components (0.3% of building)
     - Conduits: 38 (62.3%)
     - Conduit Fittings: 16 (26.2%)
     - Pipes: 5 (8.2%)
     - Pipe Fittings: 2 (3.3%)
   00 begane grond: 4103 components (21.0% of building)
     - Conduits: 2641 (64.4%)
     - Conduit Fittings: 518 (12.6%)
     - Electrical Fixtures: 505 (12.3%)
     - Lighting Fixtures: 127 (3.1%)
     - Pipes: 101 (2.5%)
     - Lighting Devices: 66 (1.6%)
     - Pipe Fittings: 58 (1.4%)
     - Data Devices: 35 (0.9%)
     - Cable Trays: 25 (0.6%)
     - Cable Tray Fittings: 17 (0.4%)
     - Communication Devices: 7 (0.2%)
     - Generic Models: 1 (0.0%)
     - Electrical Equipment: 1 (0.0%)
     - Telephone Devices: 1 (0.0%)
   01 eerste verdieping: 2140 components (11.0% of building)
     - Conduits: 1019 (47.6%)
     - Electrical Fixtures: 682 (31.9%)
     - Conduit Fittings: 166 (7.8%)
     - Lighting Fixtures: 127 (5.9%)
     - Lighting Devices: 84 (3.9%)
     - Data Devices: 52 (2.4%)
     - Communication Devices: 10 (0.5%)
   02 tweede verdieping: 1384 components (7.1% of building)
     - Electrical Fixtures: 680 (49.1%)
     - Conduits: 372 (26.9%)
     - Lighting Fixtures: 128 (9.2%)
     - Lighting Devices: 84 (6.1%)
     - Data Devices: 52 (3.8%)
     - Conduit Fittings: 48 (3.5%)
     - Communication Devices: 10 (0.7%)
     - Pipes: 6 (0.4%)
     - Pipe Fittings: 4 (0.3%)
   03 derde verdieping: 1446 components (7.4% of building)
     - Electrical Fixtures: 680 (47.0%)
     - Conduits: 432 (29.9%)
     - Lighting Fixtures: 128 (8.9%)
     - Lighting Devices: 84 (5.8%)
     - Conduit Fittings: 60 (4.1%)
     - Data Devices: 52 (3.6%)
     - Communication Devices: 10 (0.7%)
   04 vierde verdieping: 1142 components (5.9% of building)
     - Electrical Fixtures: 594 (52.0%)
     - Conduits: 256 (22.4%)
     - Lighting Fixtures: 122 (10.7%)
     - Lighting Devices: 84 (7.4%)
     - Data Devices: 46 (4.0%)
     - Conduit Fittings: 32 (2.8%)
     - Communication Devices: 8 (0.7%)
   05 vijfde verdieping: 1374 components (7.0% of building)
     - Electrical Fixtures: 594 (43.2%)
     - Conduits: 444 (32.3%)
     - Lighting Fixtures: 122 (8.9%)
     - Lighting Devices: 84 (6.1%)
     - Conduit Fittings: 76 (5.5%)
     - Data Devices: 46 (3.3%)
     - Communication Devices: 8 (0.6%)
   06 zesde verdieping: 1378 components (7.1% of building)
     - Electrical Fixtures: 596 (43.3%)
     - Conduits: 446 (32.4%)
     - Lighting Fixtures: 122 (8.9%)
     - Lighting Devices: 84 (6.1%)
     - Conduit Fittings: 76 (5.5%)
     - Data Devices: 46 (3.3%)
     - Communication Devices: 8 (0.6%)
   07 zevende verdieping: 1182 components (6.1% of building)
     - Electrical Fixtures: 556 (47.0%)
     - Conduits: 346 (29.3%)
     - Lighting Fixtures: 104 (8.8%)
     - Lighting Devices: 68 (5.8%)
     - Conduit Fittings: 58 (4.9%)
     - Data Devices: 42 (3.6%)
     - Communication Devices: 8 (0.7%)
   08 achtste verdieping: 1124 components (5.8% of building)
     - Electrical Fixtures: 546 (48.6%)
     - Conduits: 306 (27.2%)
     - Lighting Fixtures: 102 (9.1%)
     - Lighting Devices: 66 (5.9%)
     - Conduit Fittings: 54 (4.8%)
     - Data Devices: 42 (3.7%)
     - Communication Devices: 8 (0.7%)
   09 negende verdieping: 854 components (4.4% of building)
     - Electrical Fixtures: 428 (50.1%)
     - Conduits: 220 (25.8%)
     - Lighting Fixtures: 80 (9.4%)
     - Lighting Devices: 52 (6.1%)
     - Conduit Fittings: 36 (4.2%)
     - Data Devices: 32 (3.7%)
     - Communication Devices: 6 (0.7%)
   10 tiende verdieping: 797 components (4.1% of building)
     - Electrical Fixtures: 418 (52.4%)
     - Conduits: 180 (22.6%)
     - Lighting Fixtures: 79 (9.9%)
     - Lighting Devices: 50 (6.3%)
     - Data Devices: 32 (4.0%)
     - Conduit Fittings: 32 (4.0%)
     - Communication Devices: 6 (0.8%)
   11 elfde verdieping: 644 components (3.3% of building)
     - Electrical Fixtures: 300 (46.6%)
     - Conduits: 188 (29.2%)
     - Lighting Fixtures: 58 (9.0%)
     - Lighting Devices: 36 (5.6%)
     - Conduit Fittings: 36 (5.6%)
     - Data Devices: 22 (3.4%)
     - Communication Devices: 4 (0.6%)
   12 twaalfde verdieping: 616 components (3.2% of building)
     - Electrical Fixtures: 289 (46.9%)
     - Conduits: 180 (29.2%)
     - Lighting Fixtures: 55 (8.9%)
     - Lighting Devices: 34 (5.5%)
     - Conduit Fittings: 32 (5.2%)
     - Data Devices: 22 (3.6%)
     - Communication Devices: 4 (0.6%)
   13 dertiende verdieping: 424 components (2.2% of building)
     - Electrical Fixtures: 250 (59.0%)
     - Conduits: 58 (13.7%)
     - Lighting Fixtures: 48 (11.3%)
     - Lighting Devices: 32 (7.5%)
     - Data Devices: 18 (4.2%)
     - Conduit Fittings: 14 (3.3%)
     - Communication Devices: 4 (0.9%)
   14 veertiende verdieping: 375 components (1.9% of building)
     - Electrical Fixtures: 218 (58.1%)
     - Conduits: 56 (14.9%)
     - Lighting Fixtures: 44 (11.7%)
     - Lighting Devices: 26 (6.9%)
     - Data Devices: 16 (4.3%)
     - Conduit Fittings: 13 (3.5%)
     - Communication Devices: 2 (0.5%)
   15 vijftiende verdieping: 269 components (1.4% of building)
     - Electrical Fixtures: 137 (50.9%)
     - Conduits: 54 (20.1%)
     - Conduit Fittings: 34 (12.6%)
     - Lighting Fixtures: 20 (7.4%)
     - Lighting Devices: 14 (5.2%)
     - Data Devices: 8 (3.0%)
     - Communication Devices: 2 (0.7%)
   16 zestiende verdieping: 181 components (0.9% of building)
     - Electrical Fixtures: 115 (63.5%)
     - Lighting Fixtures: 24 (13.3%)
     - Conduits: 16 (8.8%)
     - Lighting Devices: 12 (6.6%)
     - Conduit Fittings: 8 (4.4%)
     - Data Devices: 6 (3.3%)
   17 zeventiende verdieping: 1 components (0.0% of building)
     - Electrical Fixtures: 1 (100.0%)</t>
  </si>
  <si>
    <t>What is the electrical equipment distribution in level 1?</t>
  </si>
  <si>
    <t>Electrical Equipment Distribution in level 1:
   01 eerste verdieping: 2140 components (11.0% of building)
     - Conduits: 1019 (47.6%)
     - Electrical Fixtures: 682 (31.9%)
     - Conduit Fittings: 166 (7.8%)
     - Lighting Fixtures: 127 (5.9%)
     - Lighting Devices: 84 (3.9%)
     - Data Devices: 52 (2.4%)
     - Communication Devices: 10 (0.5%)</t>
  </si>
  <si>
    <t>Plumbing Sub-Systems Overview:
   Total Plumbing Systems: 1,179
   Sub-Systems by Type:
   - General Plumbing: 879 systems (74.6%)
   - Water Supply: 300 systems (25.4%)
   Sub-System Breakdown:
   - Primary system: General plumbing infrastructure (879 systems)
   - Water supply distribution: 300 dedicated systems
   - Waste and drainage: 0 specialized systems</t>
  </si>
  <si>
    <t>Plumbing System Components:
   Total Plumbing Components: 22,594
   Components by Category:
   - Pipes: 10,957 components (48.5%)
   - Pipe Fittings: 9,827 components (43.5%)
   - Plumbing Fixtures: 948 components (4.2%)
   - Pipe Accessories: 859 components (3.8%)
   - Mechanical Equipment: 3 components (0.0%)
   Component Distribution:
   - Pipe network: 10,957 pipe segments
   - Connection fittings: 10,558 pipe fittings
   - Flow control: 859 valves and controllers
   - Terminal fixtures: 219 plumbing fixtures
   - Mechanical equipment: 1 pumping devices
   - Distribution infrastructure: 47,458 connection ports</t>
  </si>
  <si>
    <t>Specific Pipe Types Used:
   Total Pipe Segments: 10,957
   Pipe Types by Specification:
   - Pipe Types:Uponor MLCP_Leiding wit 100m: 5,115 segments (46.7%)
   - Pipe Types:DYKA PP Binnenriolering_Afvoerbuis 5m: 3,172 segments (28.9%)
   - Pipe Types:Koper_Koper: 863 segments (7.9%)
   - Pipe Types:DYKA PE Binnenriolering_PE: 679 segments (6.2%)
   - Pipe Types:Uponor MLCP_Buis MLCP Thermo S6 blauw 50m: 542 segments (4.9%)
   - Pipe Types:Uponor MLCP_Leiding wit 50m: 247 segments (2.3%)
   - Pipe Types:DYKA PVC Hemelwaterafvoer_HWA 6m: 224 segments (2.0%)
   - Pipe Types:Victaulic_Steel pipe 6m: 38 segments (0.3%)
   - Pipe Types:DYKA PVC Binnenriolering_Ultra-3 5m: 26 segments (0.2%)
   - Pipe Types:DYKA PVC Binnenriolering_Dunwandig 5m: 16 segments (0.1%)
   - Pipe Types:Geberit PE Binnenriolering_PE 5m: 15 segments (0.1%)
   - Pipe Types:Henco Pers_ISO4-BL 25m: 14 segments (0.1%)
   - Pipe Types:DYKA PVC Binnenriolering_Ultra-3 4m: 3 segments (0.0%)
   - Pipe Types:DYKA PE Water_PE80 SDR17 PN8 50m: 2 segments (0.0%)
   - Pipe Types:DYKA PVC Binnenriolering_Ultra-3 2m: 1 segments (0.0%)
   Pipe Materials Used:
   - MLCP: 5,904 pipes (53.9%)
   - PE: 3,866 pipes (35.3%)
   - Copper: 863 pipes (7.9%)
   - PVC: 270 pipes (2.5%)
   - Steel: 38 pipes (0.3%)
   - Unspecified: 16 pipes (0.1%)
   Pipe Applications:
   - Drainage Pipes: 10,094 pipes (92.1%)
   - Water Supply Pipes: 863 pipes (7.9%)</t>
  </si>
  <si>
    <t>Plumbing Pumps and Moving Devices:
   Total Pumping Equipment: 1
   Pump Details:
   - Type: M_Pump_Booster_MEPcontent_Duijvelaar_Pompen_HU3_DPC_DOL_DPVE10[1]:10_2:1933453</t>
  </si>
  <si>
    <t>Pipe Length Analysis:
   - Total pipe segments: 10,957
   - Segments with length data: 10,957
   - Total pipe length: 7,898 meters
   Length Distribution:
   - Average segment length: 0.72 meters
   - Average pipe per floor: 415.7 meters</t>
  </si>
  <si>
    <t>Detailed Pipe Types in Building:
   Total Pipe Segments: 10,957
   Complete Pipe Type Specifications:
   - Pipe Types:Uponor MLCP_Leiding wit 100m: 5,115 segments (46.7%)
   - Pipe Types:DYKA PP Binnenriolering_Afvoerbuis 5m: 3,172 segments (28.9%)
   - Pipe Types:Koper_Koper: 863 segments (7.9%)
   - Pipe Types:DYKA PE Binnenriolering_PE: 679 segments (6.2%)
   - Pipe Types:Uponor MLCP_Buis MLCP Thermo S6 blauw 50m: 542 segments (4.9%)
   - Pipe Types:Uponor MLCP_Leiding wit 50m: 247 segments (2.3%)
   - Pipe Types:DYKA PVC Hemelwaterafvoer_HWA 6m: 224 segments (2.0%)
   - Pipe Types:Victaulic_Steel pipe 6m: 38 segments (0.3%)
   - Pipe Types:DYKA PVC Binnenriolering_Ultra-3 5m: 26 segments (0.2%)
   - Pipe Types:DYKA PVC Binnenriolering_Dunwandig 5m: 16 segments (0.1%)
   - Pipe Types:Geberit PE Binnenriolering_PE 5m: 15 segments (0.1%)
   - Pipe Types:Henco Pers_ISO4-BL 25m: 14 segments (0.1%)
   - Pipe Types:DYKA PVC Binnenriolering_Ultra-3 4m: 3 segments (0.0%)
   - Pipe Types:DYKA PE Water_PE80 SDR17 PN8 50m: 2 segments (0.0%)
   - Pipe Types:DYKA PVC Binnenriolering_Ultra-3 2m: 1 segments (0.0%)
   Pipe Applications Summary:
   - Water supply: Copper pipes for potable water distribution
   - Drainage systems: PE and PP pipes for waste water removal
   - Specialized applications: MLCP for high-performance requirements</t>
  </si>
  <si>
    <t>Pipe Fitting Types:
   Total Pipe Fittings: 10,558
   Fitting Types by Component:
   - Bends/Elbows: 6,340 units (60.0%)
   - Tees: 1,874 units (17.7%)
   - Other Fittings: 1,081 units (10.2%)
   - Reducers: 1,047 units (9.9%)
   - Couplings: 216 units (2.0%)</t>
  </si>
  <si>
    <t>What pipe fitting types and quantities are installed?</t>
  </si>
  <si>
    <t>Pipe Fitting Installation Details:
   Total Fitting Quantity: 10,558 units
   Fitting Types and Quantities:
   - MLCP System Fittings: 4,545 units (43.0%)
   - DYKA PP Drainage Fittings: 3,215 units (30.5%)
   - Standard Plumbing Fittings: 1,368 units (13.0%)
   - Copper Water Supply Fittings: 743 units (7.0%)
   - DYKA PE Drainage Fittings: 687 units (6.5%)</t>
  </si>
  <si>
    <t>Sanitary Terminal Types:
   Total Sanitary Terminals: 10
   Specific Sanitary Terminal Types:
   - Grohe_Rapid_SL:Grohe_Rapid_SL: 8 units (80.0%)
   - Ruimtebeslag:Boiler: 2 units (20.0%)</t>
  </si>
  <si>
    <t>Waste Terminal Types:
   Total Waste Terminals: 179
   Specific Waste Terminal Types:
   - NLRS_74_PF_ST_ShowerDrain FlexDrain_ACO1:no flange: 107 units (59.8%)
   - SA_Drain_MEPcontent_DE_BEER_Pluvetta_80:Pass through grill 80: 70 units (39.1%)
   - NLRS_52_PF_UN_Pluvia roof outlet with contact sheet_Geberit (56 - 90mm):NLRS_52_d56 12L/s: 2 units (1.1%)</t>
  </si>
  <si>
    <t>Water Storage and Heating Systems:
   Total Water Heating Equipment: 2
   Specific Heating System Types:
   - Ruimtebeslag:Boiler: 2 units</t>
  </si>
  <si>
    <t>Note: Electrical load specifications not available in plumbing IFC file.
Estimated range: Typical residential boilers 3-6 kW per unit</t>
  </si>
  <si>
    <t>Pump Systems in Building:
   Total Pumps: 1
   Specific Pump Types:
   - M_Pump_Booster_MEPcontent_Duijvelaar_Pompen_HU3_DPC_DOL_DPVE10[1]:10_2: 1 units</t>
  </si>
  <si>
    <t>Measuring Equipment in Plumbing System:
   Total Measuring Devices: 206
   Specific Measuring Equipment Types:
   - M_Meter_Water_MEPcontent_Unspecified:Generic Water Meter: 105 units (51.0%)
   - M_Meter_Water_MEPcontent_Unspecified1:Generic Water Meter: 101 units (49.0%)</t>
  </si>
  <si>
    <t>What materials are the pipes made of?</t>
  </si>
  <si>
    <t>Pipe Material Composition:
   Materials Used:
   - MLCP (Multi-Layer Composite): 5,904 segments (53.9%)
   - PE (Polyethylene): 3,866 segments (35.3%)
   - Copper: 863 segments (7.9%)
   - PVC: 270 segments (2.5%)
   - Steel: 38 segments (0.3%)
   - Unspecified: 16 segments (0.1%)</t>
  </si>
  <si>
    <t>What is the connectivity rate of the plumbing distribution network?</t>
  </si>
  <si>
    <t>Plumbing Network Connectivity:
   - Total distribution ports: 47,458
   - Connected ports: 45,180
   - Network connectivity rate: 95.2%
   Network Integration Analysis:
   - Total plumbing components: 22,594
   - Average ports per component: 2.1
   - System integration level: High (95.2%)</t>
  </si>
  <si>
    <t>Ventilation Systems Overview:
   Total HVAC Systems: 863
   Ventilation Systems by Type:
   - General HVAC: 763 systems (88.4%)
   - Supply Air: 100 systems (11.6%)
   System Architecture:
   - Air distribution systems: 100 supply air systems
   - Hydronic systems: 0 heating/cooling systems
   - General HVAC infrastructure: 763 support systems</t>
  </si>
  <si>
    <t>Ventilation System Components:
   Total HVAC Components: 11,948
   Components by Category:
   - Pipe Fittings: 3,447 components (28.9%)
   - Pipes: 3,045 components (25.5%)
   - Ducts: 2,052 components (17.2%)
   - Duct Fittings: 1,962 components (16.4%)
   - Pipe Accessories: 424 components (3.5%)
   - Air Terminals: 419 components (3.5%)
   - Duct Accessories: 246 components (2.1%)
   - Mechanical Equipment: 215 components (1.8%)
   - Flex Ducts: 137 components (1.1%)
   - Generic Models: 1 components (0.0%)
   Major Component Groups:
   - Ductwork and piping: 5,234 segments
   - Connection fittings: 5,503 fittings
   - Flow control devices: 669 controllers
   - Air terminals: 419 terminals
   - Mechanical equipment: 123 units
   - Insulation systems: 86 coverings</t>
  </si>
  <si>
    <t>Heating Systems Overview:
   Total components connected to the heating system: 100
   Heating System Types:
   - Hydronic heating systems: 0 systems
   - Heat recovery ventilation: 1 units
   Heating Distribution:
   - Hydronic distribution network: 3045 pipe segments
   - Air-based heat distribution: Supply air terminals for heated air delivery</t>
  </si>
  <si>
    <t>Air Terminal Types:
   Total Air Terminals: 419
   Specific Air Terminal Types:
   - NLRS_57_AIR_FB_afvoerventiel ducovent_duco:TYPE CATALOG: 373 units (89.0%)
   - 57_ZEHN_rond ventiel toevoer STH:STH 125: 43 units (10.3%)
   - VE_Air Terminal_Wall Grille_MEPcontent_Barcol-Air_ACPZA:THIS IS A TYPE CATALOG FAMILY: 1 units (0.2%)
   - 300_57_ISR_pijl_retour_recht:standaard: 1 units (0.2%)
   - 300_57_ISR_pijl_toevoer_recht1:standaard: 1 units (0.2%)
   Terminal Applications Summary:
   - Exhaust Air: 373 terminals (89.0%)
   - Supply Air: 44 terminals (10.5%)
   - General Ventilation: 2 terminals (0.5%)</t>
  </si>
  <si>
    <t>Ductwork Length Analysis:
   - Total duct segments: 2,052
   - Segments with length data: 2,052
   - Total ductwork length: 2,442 meters
   Ductwork Distribution:
   - Building levels: 19 floors
   - Average ductwork per floor: 128.6 meters</t>
  </si>
  <si>
    <t>Duct Types in Building:
   Total Duct Segments: 2,052
   Duct Types by Shape:
   - Round Ducts: 1,885 segments (91.9%)
   - Rectangular Ducts: 167 segments (8.1%)
   Duct Materials:
   - Unspecified: 1,576 segments (76.8%)
   - Galvanized Steel: 476 segments (23.2%)</t>
  </si>
  <si>
    <t>Duct Types in Building:
   Total Duct Segments: 2,052
   Specific Duct Types:
   - Oval Duct:Luchtkanaal Ovaal - rondebocht - t-stuk: 782 segments (38.1%)
   - Round Duct:DYKA AIR_rond - 4,0m: 776 segments (37.8%)
   - Round Duct:Luka rond - verzinkt staal ( zadel ‚óè - ‚ñà ): 295 segments (14.4%)
   - Rectangular Duct:Luka rechthoekig - verzinkt staal (zadel): 129 segments (6.3%)
   - Rectangular Duct:LUKA_Verzinkt zaaglengte: 22 segments (1.1%)
   - Rectangular Duct:Luka instort rechth - verzinkt staal (zadel): 16 segments (0.8%)
   - Round Duct:LUKA_Verzinkt zaaglengte: 14 segments (0.7%)
   - Round Duct:DYKA AIR_rond - 5,5m: 12 segments (0.6%)
   - Round Duct:LUKA_RVS 3m: 4 segments (0.2%)
   - Oval Duct:Luchtkanaal Ovaal - rondebocht - zadelstuk: 2 segments (0.1%)
   Duct Materials Summary:
   - Unspecified: 1,576 segments (76.8%)
   - Galvanized Steel: 476 segments (23.2%)</t>
  </si>
  <si>
    <t>Detailed Duct Fitting Analysis:
   Total Fitting Quantity: 5,503 units
   Fitting Types and Quantities:
   - Standard Fittings: 3,331 units (60.5%)
   - DYKA System Fittings: 1,375 units (25.0%)
   - Galvanized Steel Fittings: 538 units (9.8%)
   - Victaulic System Fittings: 244 units (4.4%)
   - LUKA Ductwork Fittings: 15 units (0.3%)</t>
  </si>
  <si>
    <t>What is the total length of pipe used in the ventilation system?</t>
  </si>
  <si>
    <t>Hydronic Pipe Network Analysis:
   - Total pipe segments: 3,045
   - Segments with length data: 3,045
   - Total pipe length: 2,075 meters
   Pipe Network Distribution:
   - Average pipe per floor: 109.2 meters
   - Average segment length: 0.68 meters</t>
  </si>
  <si>
    <t>Fan Analysis:
   Dedicated fan elements: 0
   Air handling units with integrated fans: 1
   Specific AHU Types with Integrated Fans:
   - LBK VEX HR 23 HL PSYS HE2:LBK VEX HR 23 HL PSYS HE2: 1 units</t>
  </si>
  <si>
    <t>Damper Types in Building:
   Total Dampers: 243
   Specific Damper Types:
   - VE_Fire Damper_Round_MEPcontent:RF Technologies, Vlinderklep SC+60, 160-160: 111 units (45.7%)
   - 6-weg regelkogelkraan DN15-20 V3:6-wegklep DN20: 105 units (43.2%)
   - VE_Fire Damper_Rectangular_MEPcontent:Solid Air, Brandklep WK45, 175x300-175x300_21ebe881669ad72bab94e9b274215baa: 26 units (10.7%)
   - 350_57_rond_regelklep_Luka:roestvast_staal: 1 units (0.4%)
   Damper Applications Summary:
   - Fire Safety: 137 dampers (56.4%)
   - General Control: 106 dampers (43.6%)</t>
  </si>
  <si>
    <t>Total Heat Recovery Units: 1
   Specific Heat Recovery Unit Types:
   - LBK VEX HR 23 HL PSYS HE2:LBK VEX HR 23 HL PSYS HE2: 1 unit</t>
  </si>
  <si>
    <t>Measuring Equipment in Ventilation System:
   Total Measuring Devices: 106
   Specific Measuring Equipment Types:
   - M_Meter_Energy_MEPcontent_Sensus_PolluStat E_NL-EN:3/4''_0.6_110: 105 units (99.1%)
   - M_Meter_Water_MEPcontent_Unspecified:Generic Water Meter: 1 units (0.9%)</t>
  </si>
  <si>
    <t>Insulation Systems in Ventilation:
   Total Insulation Coverings: 86
   Specific Insulation Types:
   - Duct Insulation:Default: 64 coverings (74.4%)
   - Pipe Insulation:Default: 18 coverings (20.9%)
   - Duct Lining:Default: 4 coverings (4.7%)</t>
  </si>
  <si>
    <t>Mechanical Equipment Overview:
   Total Mechanical Equipment: 215
   Specific Equipment Types:
   - verdeler 5 gr:6 groepen: 107 units (49.8%)
   - A_VE_Ventilation_Unit_MEPcontent_Duco_DucoBox:Focus: 105 units (48.8%)
   - VE_Ventilation_Unit_MEPcontent_Duco_DucoBox:Focus: 2 units (0.9%)
   - LBK VEX HR 23 HL PSYS HE2:LBK VEX HR 23 HL PSYS HE2: 1 units (0.5%)</t>
  </si>
  <si>
    <t>Duct Accessories in Building:
   Total Duct Accessories: 246
   Specific Accessory Types:
   - VE_Fire Damper_Round_MEPcontent:RF Technologies, Vlinderklep SC+60, 160-160: 111 units (45.1%)
   - NLRS_57_DUA_FB_rond inspectiedeksel VID_Velu:100: 94 units (38.2%)
   - VE_Fire Damper_Rectangular_MEPcontent:Solid Air, Brandklep WK45, 175x300-175x300_21ebe881669ad72bab94e9b274215baa: 26 units (10.6%)
   - 350_57_rond_regelklep_Luka:roestvast_staal: 1 units (0.4%)
   - Uitblaas Plenum: 14 units (5.6%)
   Duct Accessory Functions:
   - Flow control and regulation
   - System support and mounting
   - Air tightness and efficiency</t>
  </si>
  <si>
    <t>What is the connectivity rate of the ventilation distribution network?</t>
  </si>
  <si>
    <t>Ventilation Network Connectivity:
   - Total distribution ports: 25,434
   - Connected ports: 21,618
   - Network connectivity rate: 85.0%
   Network Integration Analysis:
   - Total HVAC components: 11,948
   - Average ports per component: 2.1</t>
  </si>
  <si>
    <t>project_name</t>
  </si>
  <si>
    <t>model_name</t>
  </si>
  <si>
    <t>model_path</t>
  </si>
  <si>
    <t>model_description</t>
  </si>
  <si>
    <t>duplex</t>
  </si>
  <si>
    <t>arc</t>
  </si>
  <si>
    <t>/Users/sylvainhellin/GitHub/4_phd/bim-qas/src/experiment/bim_models/duplex/arc.ifc</t>
  </si>
  <si>
    <t>The architectural model of a house project, with 2 twin houses.</t>
  </si>
  <si>
    <t>mep</t>
  </si>
  <si>
    <t>/Users/sylvainhellin/GitHub/4_phd/bim-qas/src/experiment/bim_models/duplex/mep.ifc</t>
  </si>
  <si>
    <t>The MEP model of a house project, with 2 twin houses.</t>
  </si>
  <si>
    <t>dental_clinic</t>
  </si>
  <si>
    <t>/Users/sylvainhellin/GitHub/4_phd/bim-qas/src/experiment/bim_models/dental_clinic/arc.ifc</t>
  </si>
  <si>
    <t>The architectural model of a dental clinic building</t>
  </si>
  <si>
    <t>/Users/sylvainhellin/GitHub/4_phd/bim-qas/src/experiment/bim_models/dental_clinic/mep.ifc</t>
  </si>
  <si>
    <t>The MEP model of a delcal clinic building.</t>
  </si>
  <si>
    <t>str</t>
  </si>
  <si>
    <t>/Users/sylvainhellin/GitHub/4_phd/bim-qas/src/experiment/bim_models/dental_clinic/str.ifc</t>
  </si>
  <si>
    <t>The structural model of a dental clinic building. It also contains some non structural elements like the roof.</t>
  </si>
  <si>
    <t>ettenheim_gis</t>
  </si>
  <si>
    <t>city</t>
  </si>
  <si>
    <t>/Users/sylvainhellin/GitHub/4_phd/bim-qas/src/experiment/bim_models/ettenheim_gis/city.ifc</t>
  </si>
  <si>
    <t>A model of the city of Ettenheim (Germany).</t>
  </si>
  <si>
    <t>/Users/sylvainhellin/GitHub/4_phd/bim-qas/src/experiment/bim_models/4351/arc.ifc</t>
  </si>
  <si>
    <t xml:space="preserve">This is the architectural model of an unidentified building. Usage undefined. </t>
  </si>
  <si>
    <t>ac20</t>
  </si>
  <si>
    <t>/Users/sylvainhellin/GitHub/4_phd/bim-qas/src/experiment/bim_models/ac20/arc.ifc</t>
  </si>
  <si>
    <t>A phantasy office building.</t>
  </si>
  <si>
    <t>digital_hub</t>
  </si>
  <si>
    <t>/Users/sylvainhellin/GitHub/4_phd/bim-qas/src/experiment/bim_models/digital_hub/arc.ifc</t>
  </si>
  <si>
    <t>The architectural model of an office building from RWTH (Germany).</t>
  </si>
  <si>
    <t>heating</t>
  </si>
  <si>
    <t>/Users/sylvainhellin/GitHub/4_phd/bim-qas/src/experiment/bim_models/digital_hub/heating.ifc</t>
  </si>
  <si>
    <t>The MEP-heating model of an office building from RWTH (Germany).</t>
  </si>
  <si>
    <t>plumbing</t>
  </si>
  <si>
    <t>/Users/sylvainhellin/GitHub/4_phd/bim-qas/src/experiment/bim_models/digital_hub/plumbing.ifc</t>
  </si>
  <si>
    <t>The MEP-plumbing model of an office building from RWTH (Germany).</t>
  </si>
  <si>
    <t>ventilation</t>
  </si>
  <si>
    <t>/Users/sylvainhellin/GitHub/4_phd/bim-qas/src/experiment/bim_models/digital_hub/ventilation.ifc</t>
  </si>
  <si>
    <t>The MEP-ventilation model of an office building from RWTH (Germany).</t>
  </si>
  <si>
    <t>fzk_house</t>
  </si>
  <si>
    <t>/Users/sylvainhellin/GitHub/4_phd/bim-qas/src/experiment/bim_models/fzk_house/arc.ifc</t>
  </si>
  <si>
    <t>A phantasy house.</t>
  </si>
  <si>
    <t>hitos</t>
  </si>
  <si>
    <t>/Users/sylvainhellin/GitHub/4_phd/bim-qas/src/experiment/bim_models/hitos/arc.ifc</t>
  </si>
  <si>
    <t>This is a Norwegian office building.</t>
  </si>
  <si>
    <t>molio</t>
  </si>
  <si>
    <t>/Users/sylvainhellin/GitHub/4_phd/bim-qas/src/experiment/bim_models/molio/arc.ifc</t>
  </si>
  <si>
    <t>samuel_macalister_sample_house</t>
  </si>
  <si>
    <t>/Users/sylvainhellin/GitHub/4_phd/bim-qas/src/experiment/bim_models/samuel_macalister_sample_house/arc.ifc</t>
  </si>
  <si>
    <t>The architectural model of a modern house from Samuel Macalister.</t>
  </si>
  <si>
    <t>/Users/sylvainhellin/GitHub/4_phd/bim-qas/src/experiment/bim_models/samuel_macalister_sample_house/mep.ifc</t>
  </si>
  <si>
    <t>The MEP model of a modern house from Samuel Macalister.</t>
  </si>
  <si>
    <t>schependomlaan</t>
  </si>
  <si>
    <t>/Users/sylvainhellin/GitHub/4_phd/bim-qas/src/experiment/bim_models/schependomlaan/arc.ifc</t>
  </si>
  <si>
    <t>The architectural model of a housing project.</t>
  </si>
  <si>
    <t>sixty5</t>
  </si>
  <si>
    <t>/Users/sylvainhellin/GitHub/4_phd/bim-qas/src/experiment/bim_models/sixty5/arc.ifc</t>
  </si>
  <si>
    <t>The architectural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</si>
  <si>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electrical</t>
  </si>
  <si>
    <t>/Users/sylvainhellin/GitHub/4_phd/bim-qas/src/experiment/bim_models/sixty5/electrical.ifc</t>
  </si>
  <si>
    <t>The electrical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</si>
  <si>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facade</t>
  </si>
  <si>
    <t>/Users/sylvainhellin/GitHub/4_phd/bim-qas/src/experiment/bim_models/sixty5/facade.ifc</t>
  </si>
  <si>
    <t>The facade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</si>
  <si>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kitchen</t>
  </si>
  <si>
    <t>/Users/sylvainhellin/GitHub/4_phd/bim-qas/src/experiment/bim_models/sixty5/kitchen.ifc</t>
  </si>
  <si>
    <t>The kitchen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</si>
  <si>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/Users/sylvainhellin/GitHub/4_phd/bim-qas/src/experiment/bim_models/sixty5/plumbing.ifc</t>
  </si>
  <si>
    <t>The plumbing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</si>
  <si>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/Users/sylvainhellin/GitHub/4_phd/bim-qas/src/experiment/bim_models/sixty5/str.ifc</t>
  </si>
  <si>
    <t>The structural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</si>
  <si>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/Users/sylvainhellin/GitHub/4_phd/bim-qas/src/experiment/bim_models/sixty5/ventilation.ifc</t>
  </si>
  <si>
    <t>The ventilation model of Sixty5: a modern residential complex that thoughtfully blends with the industrial heritage of Strijp-S, a former Philips factory site. The building features 105 luxury apartments and stands across from an historic factory chimney. Its distinctive stepped design creates sun-filled terraces while respectfully maintaining sight lines to the neighboring chimney. The building's most striking features include its off-white concrete facade with unique shelf-like relief patterns‚Äîa subtle nod to the area's industrial past‚Äîand large windows with slender green frames. At 25 meters high on the street side, the structure harmoniously connects with adjacent buildings while maintaining its own elegant identity.
Inside, a central corridor runs the length of each floor, illuminated by large windows at both ends, creating a welcoming communal space rather than an anonymous thoroughfare. The development offers a diverse range of living spaces, from studios to large luxury apartments, catering to various urban residents.
The project stands as a testament to thoughtful urban renewal, where modern residential comfort meets industrial heritage through careful attention to detail and quality craftsmanship.</t>
  </si>
  <si>
    <t>smiley_west</t>
  </si>
  <si>
    <t>/Users/sylvainhellin/GitHub/4_phd/bim-qas/src/experiment/bim_models/smiley_west/arc.ifc</t>
  </si>
  <si>
    <t>The architectural model of terraced houses.</t>
  </si>
  <si>
    <t>wbdg_office</t>
  </si>
  <si>
    <t>/Users/sylvainhellin/GitHub/4_phd/bim-qas/src/experiment/bim_models/wbdg_office/arc.ifc</t>
  </si>
  <si>
    <t>The architectural model of a two-storey office building was developed based on published sample floor plans for a specific type of medium-sized office building in the United States.</t>
  </si>
  <si>
    <t>/Users/sylvainhellin/GitHub/4_phd/bim-qas/src/experiment/bim_models/wbdg_office/mep.ifc</t>
  </si>
  <si>
    <t>The MEP model of a two-storey office building was developed  based on published sample floor plans for a specific type of medium-sized office building in the United States.</t>
  </si>
  <si>
    <t>/Users/sylvainhellin/GitHub/4_phd/bim-qas/src/experiment/bim_models/wbdg_office/str.ifc</t>
  </si>
  <si>
    <t>The structural model of a two-storey office building was developed based on published sample floor plans for a specific type of medium-sized office building in the United States.</t>
  </si>
  <si>
    <t>fantasy_hotel_1</t>
  </si>
  <si>
    <t>/Users/sylvainhellin/GitHub/4_phd/bim-qas/src/experiment/bim_models/fantasy_hotel_1/arc.ifc</t>
  </si>
  <si>
    <t>The architectural model of a fantasy hotel building.</t>
  </si>
  <si>
    <t>fantasy_hotel_2</t>
  </si>
  <si>
    <t>/Users/sylvainhellin/GitHub/4_phd/bim-qas/src/experiment/bim_models/fantasy_hotel_2/arc.ifc</t>
  </si>
  <si>
    <t>fantasy_residential_building_1</t>
  </si>
  <si>
    <t>/Users/sylvainhellin/GitHub/4_phd/bim-qas/src/experiment/bim_models/fantasy_residential_building_1/arc.ifc</t>
  </si>
  <si>
    <t>The architectural model of a fantasy residential building.</t>
  </si>
  <si>
    <t>fantasy_office_building_1</t>
  </si>
  <si>
    <t>/Users/sylvainhellin/GitHub/4_phd/bim-qas/src/experiment/bim_models/fantasy_office_building_1/arc.ifc</t>
  </si>
  <si>
    <t>The architectural model of a fantasy office building.</t>
  </si>
  <si>
    <t>fantasy_office_building_2</t>
  </si>
  <si>
    <t>/Users/sylvainhellin/GitHub/4_phd/bim-qas/src/experiment/bim_models/fantasy_office_building_2/arc.ifc</t>
  </si>
  <si>
    <t>fantasy_office_building_3</t>
  </si>
  <si>
    <t>/Users/sylvainhellin/GitHub/4_phd/bim-qas/src/experiment/bim_models/fantasy_office_building_3/arc.ifc</t>
  </si>
  <si>
    <t>The concrete volume is 240.40 cu m.</t>
  </si>
  <si>
    <t>The concrete volume is 273.91 cu m.</t>
  </si>
  <si>
    <t>The concrete volume is 153.75 cu m.</t>
  </si>
  <si>
    <t>The concrete volume is 668.07 cu m.</t>
  </si>
  <si>
    <t>The total volume of insulation material needed is 82.20 cu m for exterior walls that have insulation material in their structure.</t>
  </si>
  <si>
    <t>The percentage of walls that are load-bearing is:
BY VOLUME:
- Load-bearing walls are 31.5 cu m (5.1%) of the total volume 623.3 cu m.</t>
  </si>
  <si>
    <t xml:space="preserve">Total interior area for painting is approximately 1565.0 sq m.
</t>
  </si>
  <si>
    <t>The total surface area of the facade is approximately 880 sq m.</t>
  </si>
  <si>
    <t>Information is not explicitly available in the BIM model, However, the structure is probably based on load-bearing wall system.</t>
  </si>
  <si>
    <t>Information not available in the BIM model, However, a probable answer is that the roof is a flat reinforced concrete slab.</t>
  </si>
  <si>
    <t>What is the total length of interior walls?</t>
  </si>
  <si>
    <t>What is the total length of exterior walls?</t>
  </si>
  <si>
    <t>The total length of interior walls is 17.18 m.</t>
  </si>
  <si>
    <t>The total length of exterior walls is 267.45 m.</t>
  </si>
  <si>
    <t>What is the building's type and its function?</t>
  </si>
  <si>
    <t>Total Doors: 77
   Door Types and Quantities:
   - IFC Tür - Eine Öñffnunsgrichtung: 67 doors (87.0%)
   - IFC Doppeltür - Eine Öñffnungsrichtung: 6 doors (7.8%)
   - IFC Doppeltür - Zwei Öñffnungsrichtungen: 3 doors (3.9%)
   - IFC Tür - Drehtür: 1 doors (1.3%)</t>
  </si>
  <si>
    <t xml:space="preserve">Two Largest Door Widths:
   1. 2.0 m - IFC Tür - Drehtür
   2. 1.8 m - IFC Doppeltür - Zwei Öñffnungsrichtungen
</t>
  </si>
  <si>
    <t>Smallest Door Width:
   1.0 m - IFC Tür - Eine Öñffnunsgrichtung</t>
  </si>
  <si>
    <t>Column Dimensions by Type:
   - Stahlbeton 2747937872 D200: Öò200mm (circular column) (2 columns)
   Column Shape Distribution:
   - Circular columns: 2</t>
  </si>
  <si>
    <t>What is the total area of glazing on the faÖßade?</t>
  </si>
  <si>
    <t>What is the total surface area of the faÖßade?</t>
  </si>
  <si>
    <t>The information is not directly available in the BIM model and cannot be exactly calculated. However, the total surface area of the faÖßade can be estimated to be around 275 sqm.</t>
  </si>
  <si>
    <t>Single-Flush: 36" x 84": $400 each Öó 10 = $4,000
Double-Panel 1: 68" x 80": $204 each Öó 1 = $204
Single-Flush: 36" x 80": $102 each Öó 4 = $408
Door_Elevator_2-Speed_Reed:Door_Elevator_2-Speed_Reed: $500 each Öó 2 = $1,000
TOTAL DOOR COST: $5,612</t>
  </si>
  <si>
    <t>Costs Available in Model:
- Archtop with Trim: 108" x 108": $900 each Öó 1 = $900
Estimated Costs: (not available in model)
- Fixed: 36" x 72": $350 each Öó 2 = $700 
TOTAL WINDOW ESTIMATED COST: $1,600</t>
  </si>
  <si>
    <t>Building Information:
   - Project Name: Smiley West
   - Building Name: GebÖ§ude
   - Site/Location: GelÖ§nde
   - 3-story above the ground and 1-storey under the ground
   - 140 spaces</t>
  </si>
  <si>
    <t>Total Doors: 170
   Door Types:
   - StocktÖºr_1_Fl: 90 doors (53%)
   - IFC DoppeltÖºr - Eine Öñffnungsrichtung: 60 doors (35%)
   - IFC TÖºr - Eine Öñffnunsgrichtung: 20 doors (12%)</t>
  </si>
  <si>
    <t>Total Windows: 80
Window Types with Size Variations:
   Type: IFC Fenster - ein Panel: 80 windows total
   - 0.75m Öó 0.62m: 10 windows (12%)
   - 0.75m Öó 0.98m: 10 windows (12%)
   - 1.00m Öó 0.62m: 10 windows (12%)
   - 1.01m Öó 1.75m: 20 windows (25%)
   - 1.22m Öó 1.00m: 20 windows (25%)
   - 1.22m Öó 1.48m: 10 windows (12%)</t>
  </si>
  <si>
    <t>Wall Materials by Wall Type:
   Beton-WÖ§rmeschutz 250:
   - Isolierung, hart 275646950 (0.100m)
   - Beton, tragend 268571148 (0.150m)
   Gips 275646950 100:
   - Gips 275646950 (0.100m)
   Holzrahmen_Wand 11:
   - Holz
   Kalksandstein 268899148 175:
   - Kalksandstein 268899148 (0.200m)
   Kalksandstein 268899148 200:
   - Kalksandstein 268899148 (0.200m)
   Stahlbeton 2816491304 200:
   - Stahlbeton 2816491304 (0.200m)</t>
  </si>
  <si>
    <t>Building Spatial Layout Overview:
   - Building Levels: 2 storeys (Erdgeschoss, Dachgeschoss)
   - Total Spaces: 7 rooms
   - Total Floor Area: 173.3 sq m
   Space Distribution by Level:
   - Erdgeschoss: 6 spaces, 98.8 sq m
   - Dachgeschoss: 1 spaces, 74.5 sq m
   Space Functions:
   - Schlafzimmer: 1 space
   - Bad: 1 space
   - Buero: 1 space
   - Wohnen: 1 space
   - Flur: 1 space
   - KÖºche: 1 space
   - Galerie: 1 space</t>
  </si>
  <si>
    <t>Ground Level (Erdgeschoss): 6 spaces
   Total Ground Floor Area: 98.8 sq m
   Ground Level Room Layout:
   - Room 5: Wohnen (25.2 sq m, 2.5m height)
   - Room 4: Schlafzimmer (21.4 sq m, 2.5m height)
   - Room 6: KÖºche (16.3 sq m, 2.5m height)
   - Room 2: Buero (12.6 sq m, 2.5m height)
   - Room 3: Bad (12.1 sq m, 2.5m height)
   - Room 1: Flur (11.2 sq m, 2.5m height)</t>
  </si>
  <si>
    <t>Total Doors: 5
   Door Types and Quantities:
   - IFC TÖºr - Eine Öñffnunsgrichtung: 3 doors
   - EingangstÖºr: 1 doors
   - SchiebetÖºr_3-teilig: 1 door
   Individual Door Details:
   - Terrassentuer: SchiebetÖºr_3-teilig (2010mm x 2375mm)
   - Haustuer: EingangstÖºr (1010mm x 2010mm)
   - Innentuer-1: IFC TÖºr - Eine Öñffnunsgrichtung (885mm x 2010mm)
   - Innentuer-2: IFC TÖºr - Eine Öñffnunsgrichtung (885mm x 2010mm)
   - Innentuer-3: IFC TÖºr - Eine Öñffnunsgrichtung (885mm x 2010mm)</t>
  </si>
  <si>
    <t>Three Largest Door Widths:
   1. 2010mm - Terrassentuer (SchiebetÖºr_3-teilig)
   2. 1010mm - Haustuer (EingangstÖºr)
   3. 885mm - Innentuer-1 (IFC TÖºr - Eine Öñffnunsgrichtung)</t>
  </si>
  <si>
    <t>the Shortest Door Width is 885mm, which is used in:
   1.  Innentuer-1 (IFC TÖºr - Eine Öñffnunsgrichtung)
   2. Innentuer-2 (IFC TÖºr - Eine Öñffnunsgrichtung)
   3. Innentuer-3 (IFC TÖºr - Eine Öñffnunsgrichtung)</t>
  </si>
  <si>
    <t>Highest Ceiling Height: 4.00 m
   Rooms with highest ceiling height (4.00 m):
   - Room 7: Galerie
     Level: Dachgeschoss, Area: 74.5 sq m
   All Rooms Ranked by Ceiling Height:
   1. Room 7 (Galerie): 4.00 m (Dachgeschoss)
   2. Room 4 (Schlafzimmer): 2.50 m (Erdgeschoss)
   3. Room 3 (Bad): 2.50 m (Erdgeschoss)
   4. Room 2 (Buero): 2.50 m (Erdgeschoss)
   5. Room 5 (Wohnen): 2.50 m (Erdgeschoss)
   6. Room 1 (Flur): 2.50 m (Erdgeschoss)
   7. Room 6 (KÖºche): 2.50 m (Erdgeschoss)</t>
  </si>
  <si>
    <t>Building Space Utilization Analysis:
   Total Building Area: 173.3 sq m
   Total Functions: 7
   Space Utilization by Function:
   Galerie:
   - Total Area: 74.5 sq m
   - Number of Spaces: 1
   Wohnen:
   - Total Area: 25.2 sq m
   - Number of Spaces: 1
   Schlafzimmer:
   - Total Area: 21.4 sq m
   - Number of Spaces: 1
   KÖºche:
   - Total Area: 16.3 sq m
   - Number of Spaces: 1
   Buero:
   - Total Area: 12.6 sq m
   - Number of Spaces: 1
   Bad:
   - Total Area: 12.1 sq m
   - Number of Spaces: 1
   Flur:
   - Total Area: 11.2 sq m
   - Number of Spaces: 1
   Functional Category Summary:
   - Residential/Living: 137.4 sq m (79.3%)
   - Service/Circulation: 23.3 sq m (13.4%)
   - Work/Office: 12.6 sq m (7.3%)</t>
  </si>
  <si>
    <t>Ground Level (u.etg): 67 spaces
   Total Area: 3307.9 sq m
   Ground Level Spaces by Function:
   Andel kantine AFI (1 spaces, 247.0 sq m):
     - 04.001: 247.0 sq m
   BK (1 spaces, 1.7 sq m):
     - 04.005: 1.7 sq m
   Brief og debrief rom (1 spaces, 45.4 sq m):
     - 06.05.001: 45.4 sq m
   Bro 1 (1 spaces, 150.1 sq m):
     - 06.04.001: 150.1 sq m
   Bro 2 (1 spaces, 28.4 sq m):
     - 06.04.002: 28.4 sq m
   Bro 4/hurtigbÖ•tsimulator (1 spaces, 44.7 sq m):
     - 06.04.004: 44.7 sq m
   Bruttoareal uetg (1 spaces, 1624.2 sq m):
     - 70.002: 1624.2 sq m
   Data (1 spaces, 5.1 sq m):
     - 06.04.009: 5.1 sq m
   El (5 spaces, 6.4 sq m):
     - 80.007: 1.4 sq m
     - 80.008: 1.3 sq m
     - 80.009: 1.5 sq m
     - 80.010: 1.5 sq m
     - 80.030: 0.8 sq m
   Forberedelser/verksted/lager (1 spaces, 21.9 sq m):
     - 06.05.002: 21.9 sq m
   Frys (1 spaces, 4.9 sq m):
     - 04.008: 4.9 sq m
   Gard. (4 spaces, 20.3 sq m):
     - 01.044: 4.5 sq m
     - 01.045: 4.3 sq m
     - 04.017: 5.6 sq m
     - 04.018: 5.9 sq m
   Glassgata (1 spaces, 229.1 sq m):
     - 99.01.015: 229.1 sq m
   Heis-0 (1 spaces, 6.4 sq m):
     - 99.03.001-00: 6.4 sq m
   InstruktÖ∏r (1 spaces, 13.5 sq m):
     - 06.04.005: 13.5 sq m
   KjÖ∏kken (1 spaces, 121.9 sq m):
     - 04.006: 121.9 sq m
   KjÖ∏kken, avfall (1 spaces, 5.4 sq m):
     - 04.014: 5.4 sq m
   KjÖ∏kken, betjening (1 spaces, 11.7 sq m):
     - 04.015: 11.7 sq m
   KjÖ∏kken, servering (1 spaces, 32.4 sq m):
     - 04.003: 32.4 sq m
   KjÖ∏l (1 spaces, 5.5 sq m):
     - 04.007: 5.5 sq m
   Kontor (1 spaces, 3.7 sq m):
     - 04.016: 3.7 sq m
   Korr. (1 spaces, 21.8 sq m):
     - 04.021: 21.8 sq m
   Korridor (3 spaces, 99.9 sq m):
     - 99.01.001: 69.8 sq m
     - 99.01.002: 22.9 sq m
     - 99.01.014: 7.2 sq m
   Lager (1 spaces, 14.1 sq m):
     - 06.02.003: 14.1 sq m
   Meieri (1 spaces, 3.0 sq m):
     - 04.009: 3.0 sq m
   Mekanisk laboratorium (1 spaces, 29.4 sq m):
     - 06.02.002: 29.4 sq m
   Mekanisk- og grovverksted (1 spaces, 56.0 sq m):
     - 06.05.003: 56.0 sq m
   Min.vann (1 spaces, 2.2 sq m):
     - 04.010: 2.2 sq m
   Oppvask (1 spaces, 28.3 sq m):
     - 04.004: 28.3 sq m
   Prosess og gassteknologi/ la... (1 spaces, 22.4 sq m):
     - 06.04.007: 22.4 sq m
   RWC (1 spaces, 5.5 sq m):
     - 01.026: 5.5 sq m
   Rens/Grovkj. (1 spaces, 11.0 sq m):
     - 04.002: 11.0 sq m
   Rotfrukt (1 spaces, 3.4 sq m):
     - 04.011: 3.4 sq m
   RÖ∏mningstrapp T01-0 (1 spaces, 11.6 sq m):
     - 99.02.001-0: 11.6 sq m
   RÖ∏mningstrapp T03-0 (1 spaces, 12.9 sq m):
     - 99.02.003: 12.9 sq m
   RÖ∏mningstrapp T04-0 (1 spaces, 12.5 sq m):
     - 99.02.004: 12.5 sq m
   Seminarrom (1 spaces, 102.5 sq m):
     - 02.028: 102.5 sq m
   Sluse (1 spaces, 6.6 sq m):
     - 80.011: 6.6 sq m
   SÖ∏ppel (1 spaces, 51.1 sq m):
     - 07.007: 51.1 sq m
   Trapp T02-0 (1 spaces, 15.7 sq m):
     - 99.02.002-0: 15.7 sq m
   TÖ∏rrvare (1 spaces, 5.1 sq m):
     - 04.012: 5.1 sq m
   Urinal (1 spaces, 1.6 sq m):
     - 01.023: 1.6 sq m
   Varemottak (2 spaces, 117.7 sq m):
     - 04.013: 24.2 sq m
     - 07.013: 93.5 sq m
   Vask (2 spaces, 10.8 sq m):
     - 01.024: 6.2 sq m
     - 01.025: 4.6 sq m
   Vent.rom (1 spaces, 15.7 sq m):
     - 80.024: 15.7 sq m
   WC (10 spaces, 14.9 sq m):
     - 01.011: 1.2 sq m
     - 01.014: 2.0 sq m
     - 01.015: 2.0 sq m
     - 01.016: 1.2 sq m
     - 01.017: 1.2 sq m
     - 01.018: 1.5 sq m
     - 01.019: 1.2 sq m
     - 01.020: 1.2 sq m
     - 01.021: 1.2 sq m
     - 04.019: 2.2 sq m
   WC/Dusj (1 spaces, 2.2 sq m):
     - 04.020: 2.2 sq m</t>
  </si>
  <si>
    <t>Level 1 (1.etg): 57 spaces
   Total Area: 2753.8 sq m
   Level 1 Spaces by Function:
   Arbeidsrom (1 spaces, 38.5 sq m):
     - 03.020: 38.5 sq m
   BK (1 spaces, 1.8 sq m):
     - 07.010: 1.8 sq m
   Boksamling, tidsskr. osv (in... (1 spaces, 467.7 sq m):
     - 03.002: 467.7 sq m
   Bruttoareal 1etg (2 spaces, 1438.7 sq m):
     - 70.003: 1405.6 sq m
     - 70.003.01: 33.1 sq m
   El (5 spaces, 6.4 sq m):
     - 80.014: 1.4 sq m
     - 80.015: 1.3 sq m
     - 80.016: 1.5 sq m
     - 80.017: 1.5 sq m
     - 80.031: 0.7 sq m
   Elektronikklaboratorium (1 spaces, 70.1 sq m):
     - 06.03.002: 70.1 sq m
   Elektronikkverksted (1 spaces, 15.5 sq m):
     - 06.03.004: 15.5 sq m
   Forberedelse (1 spaces, 8.6 sq m):
     - 02.029: 8.6 sq m
   Gangbro (2 spaces, 62.0 sq m):
     - 99.01.012: 32.5 sq m
     - 99.01.013: 29.6 sq m
   Heis-1 (1 spaces, 6.4 sq m):
     - 99.03.001-01: 6.4 sq m
   Kart (1 spaces, 3.8 sq m):
     - 03.025: 3.8 sq m
   Kont AFL (3 spaces, 22.1 sq m):
     - 03.014: 7.3 sq m
     - 03.015: 7.3 sq m
     - 03.016: 7.5 sq m
   Kont. AFI (3 spaces, 25.5 sq m):
     - 03.012: 8.8 sq m
     - 03.013: 9.3 sq m
     - 03.017: 7.4 sq m
   Kont. AFL (1 spaces, 8.3 sq m):
     - 03.024: 8.3 sq m
   Kont. ing. (7 spaces, 66.2 sq m):
     - 05.025: 16.4 sq m
     - 05.048: 8.1 sq m
     - 05.049: 8.6 sq m
     - 05.050: 8.1 sq m
     - 05.051: 8.2 sq m
     - 05.052: 8.6 sq m
     - 05.053: 8.1 sq m
   Kont. lab. (2 spaces, 16.5 sq m):
     - 05.054: 8.1 sq m
     - 05.055: 8.3 sq m
   Kopi (1 spaces, 5.3 sq m):
     - 03.005: 5.3 sq m
   Kopi/print (1 spaces, 4.0 sq m):
     - 01.004: 4.0 sq m
   Korridor (2 spaces, 105.0 sq m):
     - 99.01.004: 70.7 sq m
     - 99.01.005: 34.3 sq m
   Makul. (1 spaces, 4.3 sq m):
     - 03.026: 4.3 sq m
   Navigasj.instr.- og radiok. (1 spaces, 38.0 sq m):
     - 06.04.006: 38.0 sq m
   Pauserom/mÖ∏terom (1 spaces, 16.2 sq m):
     - 03.006: 16.2 sq m
   RWC (4 spaces, 16.1 sq m):
     - 01.027: 4.0 sq m
     - 01.028: 4.0 sq m
     - 01.037: 4.0 sq m
     - 01.038: 4.0 sq m
   RÖ∏mningstrapp T01-1 (1 spaces, 11.5 sq m):
     - 99.02.001-1: 11.5 sq m
   RÖ∏mningstrapp T03-1 (1 spaces, 12.9 sq m):
     - 99.02.003-1: 12.9 sq m
   RÖ∏mningstrapp T04-1 (1 spaces, 12.5 sq m):
     - 99.02.004-1: 12.5 sq m
   Skranke (1 spaces, 18.8 sq m):
     - 03.019: 18.8 sq m
   Sosiale mÖ∏tepl. (1 spaces, 4.6 sq m):
     - 01.041: 4.6 sq m
   Sosiale mÖ∏teplasser (1 spaces, 10.7 sq m):
     - 01.003: 10.7 sq m
   Sterkstr./byggautomasj... (1 spaces, 46.6 sq m):
     - 06.03.003: 46.6 sq m
   Styrings- og reguleringslabo... (1 spaces, 87.0 sq m):
     - 06.03.001: 87.0 sq m
   Toal. (2 spaces, 3.7 sq m):
     - 01.033: 1.8 sq m
     - 01.034: 1.8 sq m
   Trapp T02-1 (1 spaces, 15.7 sq m):
     - 99.02.002-1: 15.7 sq m
   VENT.ROM (1 spaces, 21.8 sq m):
     - 80.033: 21.8 sq m
   Varmetekn. og strÖ∏mn. (1 spaces, 60.8 sq m):
     - 06.02.001: 60.8 sq m</t>
  </si>
  <si>
    <t>Level 2 (2.etg): 83 spaces
   Total Area: 1703.6 sq m
   Level 2 Spaces by Function:
   Auditorium (1 spaces, 187.0 sq m):
     - 02.001: 187.0 sq m
   BK (2 spaces, 5.7 sq m):
     - 07.003: 2.2 sq m
     - 07.015: 3.4 sq m
   Bruttoareal 2etg (1 spaces, 240.5 sq m):
     - 70.004.01: 240.5 sq m
   Digitalt verksted (1 spaces, 22.4 sq m):
     - 03.010: 22.4 sq m
   El (5 spaces, 6.7 sq m):
     - 80.019: 1.4 sq m
     - 80.020: 1.3 sq m
     - 80.021: 1.5 sq m
     - 80.022: 1.5 sq m
     - 80.032: 1.0 sq m
   Gangbro (2 spaces, 61.5 sq m):
     - 99.01.010: 31.9 sq m
     - 99.01.011: 29.6 sq m
   Heis-2 (1 spaces, 6.4 sq m):
     - 99.03.001-02: 6.4 sq m
   Help Desk (1 spaces, 16.8 sq m):
     - 03.022: 16.8 sq m
   Koll. (15 spaces, 119.5 sq m):
     - 02.009: 7.6 sq m
     - 02.010: 7.2 sq m
     - 02.011: 7.1 sq m
     - 02.012: 7.2 sq m
     - 02.013: 7.2 sq m
     - 02.014: 7.5 sq m
     - 02.015: 7.4 sq m
     - 02.016: 8.2 sq m
     - 02.017: 8.7 sq m
     - 02.018: 9.2 sq m
     - 02.019: 8.0 sq m
     - 02.020: 8.3 sq m
     - 02.021: 8.1 sq m
     - 02.022: 11.0 sq m
     - 02.023: 6.9 sq m
   Kont. ing. (6 spaces, 47.3 sq m):
     - 05.042: 7.9 sq m
     - 05.043: 7.9 sq m
     - 05.044: 7.9 sq m
     - 05.045: 7.9 sq m
     - 05.046: 7.9 sq m
     - 05.047: 7.9 sq m
   Kont.adm. (2 spaces, 31.6 sq m):
     - 05.002: 15.7 sq m
     - 05.003: 16.0 sq m
   Kont.ing. (16 spaces, 130.2 sq m):
     - 05.026: 8.1 sq m
     - 05.027: 8.1 sq m
     - 05.028: 8.1 sq m
     - 05.029: 8.1 sq m
     - 05.030: 8.1 sq m
     - 05.031: 8.1 sq m
     - 05.032: 8.1 sq m
     - 05.033: 8.1 sq m
     - 05.034: 8.1 sq m
     - 05.035: 7.8 sq m
     - 05.036: 8.1 sq m
     - 05.037: 8.1 sq m
     - 05.038: 8.6 sq m
     - 05.039: 8.1 sq m
     - 05.040: 8.3 sq m
     - 05.041: 7.7 sq m
   Kont.Ö∏k. (1 spaces, 8.6 sq m):
     - 05.024: 8.6 sq m
   Kontor, Dekan (1 spaces, 24.4 sq m):
     - 05.001: 24.4 sq m
   Kopi (1 spaces, 6.7 sq m):
     - 05.062: 6.7 sq m
   Kopi/print (1 spaces, 5.8 sq m):
     - 03.003: 5.8 sq m
   Korridor (3 spaces, 291.5 sq m):
     - 99.01.006: 237.5 sq m
     - 99.01.007: 44.5 sq m
     - 99.01.008: 9.4 sq m
   Kurslab/data (ytre sone) (1 spaces, 52.0 sq m):
     - 03.009: 52.0 sq m
   MÖ∏terom (3 spaces, 64.0 sq m):
     - 05.058: 9.3 sq m
     - 05.059: 20.3 sq m
     - 05.060: 34.4 sq m
   PC-areal (indre/ytre sone) (1 spaces, 159.2 sq m):
     - 03.007: 159.2 sq m
   RWC (6 spaces, 24.6 sq m):
     - 01.031: 4.0 sq m
     - 01.032: 4.0 sq m
     - 01.039: 4.0 sq m
     - 01.040: 4.0 sq m
     - 01.048: 4.4 sq m
     - 01.049: 4.4 sq m
   RÖ∏mningstrapp T01-2 (1 spaces, 11.5 sq m):
     - 99.02.001-2: 11.5 sq m
   RÖ∏mningstrapp T03-2 (1 spaces, 12.9 sq m):
     - 99.02.003-2: 12.9 sq m
   RÖ∏mningstrapp T04-2 (1 spaces, 12.5 sq m):
     - 99.02.004-2: 12.5 sq m
   Sluse (2 spaces, 9.7 sq m):
     - 80.018: 6.7 sq m
     - 80.023: 3.0 sq m
   Sosiale mÖ∏teplasser (2 spaces, 22.6 sq m):
     - 01.042: 10.7 sq m
     - 01.047: 11.9 sq m
   Stille lesesal (1 spaces, 43.8 sq m):
     - 03.008: 43.8 sq m
   Trapp T02-2 (1 spaces, 15.7 sq m):
     - 99.02.002-2: 15.7 sq m
   VF (1 spaces, 15.3 sq m):
     - 99.01.016: 15.3 sq m
   Vent.rom (1 spaces, 31.5 sq m):
     - 80.025: 31.5 sq m
   Vestibyle (1 spaces, 15.5 sq m):
     - 99.01.017: 15.5 sq m</t>
  </si>
  <si>
    <t>Level 3 (3.etg): 27 spaces
   Total Area: 292.4 sq m
   Level 3 Spaces by Function:
   BK (1 spaces, 2.0 sq m):
     - 07.016: 2.0 sq m
   El (1 spaces, 2.8 sq m):
     - 80.026: 2.8 sq m
   Heis-3 (1 spaces, 6.4 sq m):
     - 99.03.001-03: 6.4 sq m
   Kont. adm (6 spaces, 46.8 sq m):
     - 05.004: 7.3 sq m
     - 05.005: 7.9 sq m
     - 05.006: 7.9 sq m
     - 05.007: 7.9 sq m
     - 05.008: 7.9 sq m
     - 05.009: 7.9 sq m
   Kont. Ö∏k/adm (9 spaces, 70.7 sq m):
     - 05.015: 7.9 sq m
     - 05.016: 7.8 sq m
     - 05.017: 7.8 sq m
     - 05.018: 7.9 sq m
     - 05.019: 7.9 sq m
     - 05.020: 7.9 sq m
     - 05.021: 7.9 sq m
     - 05.022: 7.9 sq m
     - 05.023: 7.9 sq m
   Kopi (1 spaces, 2.0 sq m):
     - 05.063: 2.0 sq m
   Korridor (1 spaces, 40.3 sq m):
     - 99.01.009: 40.3 sq m
   Personalrom/mÖ∏terom (1 spaces, 79.8 sq m):
     - 05.061: 79.8 sq m
   RÖ∏mningstrapp T01-3 (1 spaces, 11.5 sq m):
     - 99.02.002-3: 11.5 sq m
   Sluse (2 spaces, 11.0 sq m):
     - 80.028: 6.7 sq m
     - 80.029: 4.3 sq m
   Trapp T02-3 (1 spaces, 15.7 sq m):
     - 99.02.002-3: 15.7 sq m
   WC (2 spaces, 3.3 sq m):
     - 01.035: 1.7 sq m
     - 01.036: 1.7 sq m</t>
  </si>
  <si>
    <t>Total Doors: 198
   Door Types and Quantities:
   - U100: 19 doors (9.6%)
   - K90: 16 doors (8.1%)
   - Koll90: 15 doors (7.6%)
   - DI501T: 15 doors (7.6%)
   - Tr130: 11 doors (5.6%)
   - WC80: 8 doors (4.0%)
   - El150: 7 doors (3.5%)
   - WC100: 7 doors (3.5%)
   - El170: 6 doors (3.0%)
   - DÖ∏r100: 6 doors (3.0%)
   - YtterdÖ∏r 203: 5 doors (2.5%)
   - Gard90: 5 doors (2.5%)
   - StÖ•ldÖ∏r100: 4 doors (2.0%)
   - Unknown Type: 4 doors (2.0%)
   - MÖ∏te100: 4 doors (2.0%)
   - Wc 90: 3 doors (1.5%)
   - Lager100: 3 doors (1.5%)
   - Korr100: 3 doors (1.5%)
   - Korr200: 3 doors (1.5%)
   - DI101T: 3 doors (1.5%)
   - Utv trappedÖ∏130: 2 doors (1.0%)
   - Port: 2 doors (1.0%)
   - DÖ∏r200: 2 doors (1.0%)
   - Wc 80: 2 doors (1.0%)
   - BK100: 2 doors (1.0%)
   - Undervisning100: 2 doors (1.0%)
   - Bk100: 2 doors (1.0%)
   - ToalettdÖ∏r100: 2 doors (1.0%)
   - KorridordÖ∏r 180: 2 doors (1.0%)
   - ElskapdÖ∏r150: 2 doors (1.0%)
   - DI103T: 2 doors (1.0%)
   - DI401T: 2 doors (1.0%)
   - Sluse130: 1 door (0.5%)
   - Vask90: 1 door (0.5%)
   - WC90: 1 door (0.5%)
   - YtterdÖ∏r200: 1 door (0.5%)
   - YtterdÖ∏r150: 1 door (0.5%)
   - YtterdÖ∏r130: 1 door (0.5%)
   - Gard100: 1 door (0.5%)
   - BK90: 1 door (0.5%)
   - Kont90: 1 door (0.5%)
   - Vent100: 1 door (0.5%)
   - El90: 1 door (0.5%)
   - Data100: 1 door (0.5%)
   - YD180: 1 door (0.5%)
   - Korr180: 1 door (0.5%)
   - El100: 1 door (0.5%)
   - Korr150: 1 door (0.5%)
   - Vent.150: 1 door (0.5%)
   - SlusedÖ∏r130: 1 door (0.5%)
   - SlusedÖ∏r150: 1 door (0.5%)
   - aud130: 1 door (0.5%)
   - TrappedÖ∏r130: 1 door (0.5%)
   - DU???T: 1 door (0.5%)
   - DI204T: 1 door (0.5%)
   - DI111: 1 door (0.5%)
   - DI201T: 1 door (0.5%)
   - DI205T: 1 door (0.5%)
   - DI203T: 1 door (0.5%)</t>
  </si>
  <si>
    <t>Top 5 Largest Door Widths:
   1. 3500 mm - Port
   2. 3425 mm - Unknown Type
   3. 3000 mm - StÖ•ldÖ∏r100
   4. 2500 mm - Port
   5. 2124 mm - YtterdÖ∏r 203
   Door Width Statistics:
   - Width range: 790 - 3500 mm
   - Average width: 1167 mm</t>
  </si>
  <si>
    <t>Total Unique Materials: 17
   Wall Types with Material Data: 39
   Complete Wall Type Material Compositions:
   Betongvegg 200:
     - Betong bÖ¶rende: 201mm
   AV02T:
     - Gips: 13mm
     - StÖ•lbindv.: 100mm
     Total thickness: 113mm
   AV03T:
     - Gips: 13mm
     - StÖ•lbindv.: 100mm
     Total thickness: 113mm
   AV52T:
     - Gips: 11mm
     - Bindingsverk: 122mm
     - SlÖ∏yfer: 25mm
     - Platekledning: 10mm
     - StÖ•lbindv.: 99mm
     - Krysslekting: 30mm
     - Gips protect: 13mm
     - Isolasjon : 50mm
     - cut stone: 150mm
     - Puss: 15mm
     - Kryssfiner: 15mm
     Total thickness: 540mm
   AV50T:
     - Gips: 11mm
     - Bindingsverk: 148mm
     - Isolasjon : 50mm
     - cut stone: 150mm
     - Puss: 15mm
     - Kryssfiner: 15mm
     Total thickness: 389mm
   AV51T:
     - Bindingsverk: 50mm
     - Gips: 9mm
     - Isolasjon : 50mm
     - cut stone: 150mm
     - Puss: 15mm
     Total thickness: 274mm
   AV04T:
     - Gips: 13mm
     - StÖ•lbindv.: 120mm
     Total thickness: 133mm
   AV07T:
     - Gips protect: 15mm
     - StÖ•lbindv.: 70mm
     Total thickness: 85mm
   AV57T:
     - Gips: 11mm
     - Bindingsverk: 148mm
     - StÖ•lbindv.: 150mm
     Total thickness: 309mm
   AV01T:
     - Gips: 13mm
     - StÖ•lbindv.: 100mm
     Total thickness: 113mm
   AV14T:
     - Glass: 100mm
   AV55T:
     - StÖ•lbindv.: 150mm
     - cut stone: 150mm
     - Puss: 15mm
     Total thickness: 315mm
   AV15T:
     - Glass: 100mm
   SkjÖ∏rt:
     - Gips: 13mm
     - StÖ•lbindv.: 100mm
     Total thickness: 113mm
   AV13T:
     - Puss: 10mm
     - Lettklinker: 150mm
     Total thickness: 160mm
   AV60T:
     - Kryssfiner: 15mm
     - Bindingsverk: 56mm
     Total thickness: 71mm
   AV19T:
     - Bindingsverk: 148mm
     - Gips: 13mm
     Total thickness: 161mm
   AV16T:
     - Gips: 13mm
     - StÖ•lbindv.: 178mm
     Total thickness: 191mm
   Rekkverk:
     - air space: 60mm
   AV54T:
     - cut stone: 150mm
     - Puss: 15mm
     Total thickness: 165mm
   AV53T:
     - Gips: 11mm
     - Bindingsverk: 134mm
     - Isolasjon : 50mm
     - cut stone: 150mm
     Total thickness: 345mm
   Betongvegg 250:
     - Betong bÖ¶rende: 200mm
   AV11aT:
     - StÖ•lbindv.: 15mm
     - Gips: 13mm
     - Krysslekting: 30mm
     - Gips protect: 13mm
     Total thickness: 71mm
   AV56T:
     - Gips: 11mm
     - Bindingsverk: 148mm
     - SlÖ∏yfer: 25mm
     - Platekledning: 10mm
     Total thickness: 194mm
   Utlekting trapp:
     - Bindingsverk: 148mm
     - Gips: 13mm
     Total thickness: 161mm
   Gesims_AV52T:
     - Kryssfiner: 15mm
     - Bindingsverk: 148mm
     - Gips: 9mm
     - Isolasjon : 50mm
     - cut stone: 150mm
     - Puss: 15mm
     Total thickness: 387mm
   AV18T:
     - Gips: 13mm
     - StÖ•lbindv.: 170mm
     Total thickness: 183mm
   AV06T:
     - Gips: 13mm
     - StÖ•lbindv.: 170mm
     Total thickness: 183mm
   AV11T:
     - Gips: 13mm
     - StÖ•lbindv.: 100mm
     - Krysslekting: 30mm
     - Gips protect: 13mm
     Total thickness: 156mm
   AV17T:
     - Gips: 13mm
     - Leca: 13mm
     - StÖ•lbindv.: 100mm
     - air space: 50mm
     Total thickness: 176mm
   AV05T:
     - Gips: 13mm
     - Leca: 13mm
     - StÖ•lbindv.: 100mm
     - Spalte: 20mm
     Total thickness: 146mm
   AV12T:
     - Gips: 13mm
     - StÖ•lbindv.: 100mm
     Total thickness: 113mm
   AV10T:
     - Puss: 10mm
     - Lettklinker: 150mm
     Total thickness: 160mm
   Utlekting:
     - air space: 10mm
     - Bindingsverk: 100mm
     - Gips: 13mm
     Total thickness: 123mm
   Utlekting aud.:
     - Bindingsverk: 148mm
     - Gips: 13mm
     Total thickness: 161mm
   AV58T:
     - StÖ•lbindv.: 150mm
   AV11bT:
     - Gips: 13mm
     - StÖ•lbindv.: 85mm
     Total thickness: 98mm
   AV08T:
     - Gips: 13mm
     - StÖ•lbindv.: 100mm
     Total thickness: 113mm
   SkrÖ•vegg aud.:
     - Gips: 11mm
     - Bindingsverk: 148mm
     - SlÖ∏yfer: 25mm
     - Platekledning: 10mm
     Total thickness: 194mm</t>
  </si>
  <si>
    <t>Total Ceiling Slabs Found: 277
   Ceiling Type Material Compositions:
   Dekke-01:
     - Betong bÖ¶rende: 269mm
     - PÖ•stÖ∏p: 20mm
     - Betong, lett: 250mm
     Total thickness: 539mm
   Dekke-02:
     - Betong bÖ¶rende: 265mm
   Dekke-03:
     - Betong bÖ¶rende: 250mm
   Gipshimling:
     - air space: 126mm
     - Isolasjon : 100mm
     - Gips: 13mm
     - Himlingsplater: 50mm
     Total thickness: 289mm
   Grupper.himling:
     - Himlingsplater: 50mm
   HImling_EH01T:
     - Himlingsplater: 50mm
   HImling_EH04T:
     - Himlingsplater: 50mm
   Himling_EH01T:
     - Himlingsplater: 50mm
   Himling_EH02T:
     - Himlingsplater: 50mm
   Himling_EH03T:
     - Himlingsplater: 50mm
   Himling_EH04T:
     - Himlingsplater: 50mm
   Himling_EH05T:
     - Himlingsplater: 50mm
   Himling_EH12T:
     - Himlingsplater: 50mm
   Kontorhimling:
     - Himlingsplater: 50mm
   Korridorhimling:
     - Himlingsplater: 50mm
   Kurslab.himling:
     - Himlingsplater: 50mm
   Lesesalhimling:
     - Himlingsplater: 50mm
   MÖ∏teromhimling:
     - Himlingsplater: 50mm
   Tak v/inngang:
     - Betong, lett: 250mm
   Taktekking_papp:
     - Papp: 2mm
   Trapphimling:
     - Himlingsplater: 50mm
   glassgÖ•.himling:
     - Himlingsplater: 50mm
   sosials.himling:
     - Himlingsplater: 50mm</t>
  </si>
  <si>
    <t>Rooms with lowest ceiling height:
   1. 04.013 (Varemottak)
      Height: 2.40 m, Level: u.etg
   2. 04.008 (Frys)
      Height: 2.40 m, Level: u.etg
   3. 04.014 (KjÖ∏kken, avfall)
      Height: 2.40 m, Level: u.etg
   4. 04.007 (KjÖ∏l)
      Height: 2.40 m, Level: u.etg
   5. 04.009 (Meieri)
      Height: 2.40 m, Level: u.etg</t>
  </si>
  <si>
    <t>Building Space Utilization Analysis:
   Total Functions: 109
   Space Utilization by Function (Top 15):
   - Bruttoareal uetg:
     Total Area: 1624.2 sq m (19.1% of building)
     Spaces: 1
   - Bruttoareal 1etg:
     Total Area: 1438.7 sq m (16.9% of building)
     Spaces: 2, Average: 719.4 sq m
   - Korridor:
     Total Area: 536.6 sq m (6.3% of building)
     Spaces: 9, Average: 59.6 sq m
   - Boksamling, tidsskr. osv (in...:
     Total Area: 467.7 sq m (5.5% of building)
     Spaces: 1
   - Andel kantine AFI:
     Total Area: 247.0 sq m (2.9% of building)
     Spaces: 1
   - Bruttoareal 2etg:
     Total Area: 240.5 sq m (2.8% of building)
     Spaces: 1
   - Glassgata:
     Total Area: 229.1 sq m (2.7% of building)
     Spaces: 1
   - Bruttoareal kjeller:
     Total Area: 226.3 sq m (2.7% of building)
     Spaces: 1
   - Vent.rom:
     Total Area: 191.9 sq m (2.3% of building)
     Spaces: 3, Average: 64.0 sq m
   - Auditorium:
     Total Area: 187.0 sq m (2.2% of building)
     Spaces: 1
   - PC-areal (indre/ytre sone):
     Total Area: 159.2 sq m (1.9% of building)
     Spaces: 1
   - Bro 1:
     Total Area: 150.1 sq m (1.8% of building)
     Spaces: 1
   - Kont.ing.:
     Total Area: 130.2 sq m (1.5% of building)
     Spaces: 16, Average: 8.1 sq m
   - Gangbro:
     Total Area: 123.5 sq m (1.5% of building)
     Spaces: 4, Average: 30.9 sq m
   - KjÖ∏kken:
     Total Area: 121.9 sq m (1.4% of building)
     Spaces: 1
   Functional Category Summary:
   - Office/Administrative: 361.2 sq m (4.3%)
   - Service/Circulation: 626.3 sq m (7.4%)
   - Meeting/Collaboration: 119.5 sq m (1.4%)
   - Other functions: 7384.3 sq m (87.0%)</t>
  </si>
  <si>
    <t>Column Dimensions by Type:
   BS-skive: 6 column(s)
     - 1000Öó200mm
   BS-skive ARK: 1 column(s)
     - 1000Öó200mm
   BS02: 38 column(s)
     - Öò200mm (R=100mm) (8 columns)
     - Öò350mm (R=175mm) (30 columns)
   BS04: 142 column(s)
     - 430Öó350mm (2 columns)
     - Öò350mm (R=175mm) (3 columns)
     - 100Öó150mm (9 columns)
     - 430Öó430mm (2 columns)
     - 100Öó100mm (6 columns)
     - 350Öó350mm (110 columns)
     - 350Öó150mm (4 columns)
     - Öò200mm (R=100mm) (6 columns)
   BS04 ARK: 8 column(s)
     - 350Öó350mm
   Column Shape Distribution:
   - Rectangular columns: 148
   - Circular columns: 47</t>
  </si>
  <si>
    <t>Slab Types:
   - Floor slabs: 285
   - Roof slabs: 78
   Floor Slab Types and Thicknesses:
   - Auditoriumtrapp: 208mm, 417mm (avg: 312mm, 2 slabs)
   - Baldakin: 250mm (1 slab)
   - Dekke-01: 208mm, 208mm, 208mm, 208mm, 208mm, 208mm, 208mm, 208mm, 208mm, 208mm, 208mm, 250mm, 250mm, 250mm, 265mm, 265mm, 265mm, 265mm, 281mm, 285mm, 285mm, 285mm, 285mm, 285mm, 285mm, 285mm, 285mm, 285mm, 285mm, 285mm, 285mm, 285mm, 417mm, 417mm, 417mm, 417mm, 417mm, 417mm, 417mm, 417mm (avg: 275mm, 51 slabs)
   - Dekke-02: 265mm (1 slab)
   - Dekke-03: 250mm, 250mm (avg: 250mm, 2 slabs)
   - Gipshimling: 50mm, 50mm, 50mm, 50mm, 50mm, 50mm, 50mm, 126mm, 126mm (avg: 54mm, 39 slabs)
   - Grupper.himling: 50mm, 50mm, 50mm, 50mm (avg: 50mm, 14 slabs)
   - Gulv pÖ• grunn: 120mm, 120mm, 120mm, 120mm, 120mm, 120mm, 120mm (avg: 120mm, 8 slabs)
   - HImling_EH01T: 50mm (1 slab)
   - HImling_EH04T: 50mm (1 slab)
   - Himling_EH01T: 50mm, 50mm, 50mm, 50mm, 50mm, 50mm, 50mm, 50mm (avg: 50mm, 14 slabs)
   - Himling_EH02T: 50mm, 50mm (avg: 50mm, 2 slabs)
   - Himling_EH03T: 50mm, 50mm (avg: 50mm, 2 slabs)
   - Himling_EH04T: 50mm (1 slab)
   - Himling_EH05T: 50mm, 50mm (avg: 50mm, 2 slabs)
   - Himling_EH12T: 50mm, 50mm (avg: 50mm, 4 slabs)
   - Hulldekke ARK: 265mm, 265mm (avg: 265mm, 2 slabs)
   - Kontorhimling: 50mm, 50mm, 50mm, 50mm, 50mm, 50mm, 50mm, 50mm, 50mm, 50mm, 50mm, 50mm, 50mm, 50mm, 50mm, 50mm, 50mm, 50mm, 50mm, 50mm (avg: 50mm, 61 slabs)
   - Kontorhimlinh: 50mm (1 slab)
   - Korridorhimling: 50mm, 50mm, 50mm, 50mm, 50mm, 50mm, 50mm, 50mm, 50mm, 50mm (avg: 50mm, 25 slabs)
   - Kurslab.himling: 50mm (1 slab)
   - Lesesalhimling: 50mm (1 slab)
   - MÖ∏teromhimling: 50mm, 50mm, 50mm (avg: 50mm, 3 slabs)
   - Tak v/inngang: 250mm (1 slab)
   - Terrassedekke: 300mm (1 slab)
   - Trapphimling: 50mm, 50mm, 50mm (avg: 50mm, 9 slabs)
   - Unnamed Slab: 50mm, 50mm, 148mm, 148mm, 148mm, 148mm, 148mm, 148mm, 200mm, 250mm, 265mm, 285mm, 300mm (avg: 176mm, 13 slabs)
   - glassgÖ•.himling: 50mm, 50mm, 50mm, 50mm, 50mm, 50mm, 50mm, 50mm, 50mm, 50mm (avg: 50mm, 21 slabs)
   - sosials.himling: 50mm (1 slab)
   Roof Slab Types and Thicknesses:
   - Gesimsdetalj: 18mm (1 slab)
   - Taktekking_papp: 2mm, 2mm, 2mm, 2mm, 2mm, 2mm, 2mm, 2mm, 2mm, 2mm, 2mm, 2mm (avg: 2mm, 20 slabs)
   - Unnamed Slab: 18mm, 18mm, 18mm, 18mm, 18mm, 18mm, 18mm, 18mm, 18mm, 18mm, 18mm, 19mm, 19mm, 19mm, 19mm, 19mm, 19mm, 50mm, 50mm, 50mm, 50mm, 50mm, 50mm, 50mm, 50mm, 50mm, 50mm, 50mm, 50mm, 50mm, 220mm, 225mm, 226mm, 226mm, 226mm, 226mm, 226mm, 226mm, 226mm, 279mm, 279mm, 279mm, 279mm (avg: 110mm, 57 slabs)</t>
  </si>
  <si>
    <t>Largest Door Width: 2.96m
   Doors with this width:
   - Revolving Door 25 (2.96m Öó 2.40m) in Rum nr. S01</t>
  </si>
  <si>
    <t>Largest Window Width: 3.94m
   Windows with this width:
   - Window 25 (3.94m Öó 0.58m) in Rum nr. S01</t>
  </si>
  <si>
    <t>Modeling Standards:
   - IFC Schema: IFC4
   - File Format: Industry Foundation Classes (IFC)
   File Description:
   - ViewDefinition [ReferenceView_V1.2]
   - ExchangeRequirement [Architecture]
   Originating Application:
   - Software: 20190108_1515(x64) - Exporter 19.5.0.0 - Alternative BenutzeroberflÖ§che 19.5.0.0</t>
  </si>
  <si>
    <t>B01_OKRD: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
   E00_OKRD:
   - Eingangsbereich / Flur (1-1): 383.6 sq m
   - Cafeteria (1-2): 114.5 sq m
   - Open Workspace EG (1-7): 113.2 sq m
   - Veranstaltungsraum (1-12): 76.5 sq m
   - VR/AR LAB (1-11): 74.1 sq m
   - GruppenbÖºro 5 (1-9): 37.2 sq m
   - GruppenbÖºro 2 (1-5): 37.2 sq m
   - GruppenbÖºro 3 (1-6): 37.2 sq m
   - GruppenbÖºro 4 (1-8): 37.2 sq m
   - GruppenbÖºro 6 (1-10): 36.9 sq m
   - GruppenbÖºro 1 (1-4): 36.9 sq m
   - KÖºche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
   E01_OKRD:
   - Flur - OG (2-1): 286.7 sq m
   - Open Workspace 2 (2-7): 112.6 sq m
   - Seminarraum GroÖü - teilbar (2-17): 76.2 sq m
   - Offene Lounge 2 (2-15): 38.7 sq m
   - Offene Lounge 1 (2-6): 38.0 sq m
   - Seminarraum (2-16): 37.7 sq m
   - GruppenbÖºro 15 (2-19): 37.7 sq m
   - GruppenbÖºro 14 (2-18): 37.7 sq m
   - GruppenbÖºro 13 (2-14): 37.6 sq m
   - GruppenbÖºro 12 (2-13): 37.5 sq m
   - GruppenbÖºro 16 (2-20): 37.4 sq m
   - GruppenbÖºro 9 (2-8): 37.0 sq m
   - GruppenbÖºro 10 (2-9): 37.0 sq m
   - GruppenbÖºro 8 (2-5): 37.0 sq m
   - GruppenbÖºro 11 (2-10): 36.7 sq m
   - GruppenbÖºro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
   TOTAL BUILDING AREA: 2842.1 sq m</t>
  </si>
  <si>
    <t>E00_OKRD (Ground Level):
   - Eingangsbereich / Flur (1-1): 383.6 sq m
   - Cafeteria (1-2): 114.5 sq m
   - Open Workspace EG (1-7): 113.2 sq m
   - Veranstaltungsraum (1-12): 76.5 sq m
   - VR/AR LAB (1-11): 74.1 sq m
   - GruppenbÖºro 5 (1-9): 37.2 sq m
   - GruppenbÖºro 2 (1-5): 37.2 sq m
   - GruppenbÖºro 3 (1-6): 37.2 sq m
   - GruppenbÖºro 4 (1-8): 37.2 sq m
   - GruppenbÖºro 6 (1-10): 36.9 sq m
   - GruppenbÖºro 1 (1-4): 36.9 sq m
   - KÖºche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t>
  </si>
  <si>
    <t>E01_OKRD (First Level):
   - Flur - OG (2-1): 286.7 sq m
   - Open Workspace 2 (2-7): 112.6 sq m
   - Seminarraum GroÖü - teilbar (2-17): 76.2 sq m
   - Offene Lounge 2 (2-15): 38.7 sq m
   - Offene Lounge 1 (2-6): 38.0 sq m
   - Seminarraum (2-16): 37.7 sq m
   - GruppenbÖºro 15 (2-19): 37.7 sq m
   - GruppenbÖºro 14 (2-18): 37.7 sq m
   - GruppenbÖºro 13 (2-14): 37.6 sq m
   - GruppenbÖºro 12 (2-13): 37.5 sq m
   - GruppenbÖºro 16 (2-20): 37.4 sq m
   - GruppenbÖºro 9 (2-8): 37.0 sq m
   - GruppenbÖºro 10 (2-9): 37.0 sq m
   - GruppenbÖºro 8 (2-5): 37.0 sq m
   - GruppenbÖºro 11 (2-10): 36.7 sq m
   - GruppenbÖºro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t>
  </si>
  <si>
    <t>Total Doors: 64
   Door Types:
   - TU DF 1 - Rahmenstock flÖ§chenbÖºndig: 44 doors (69%)
   - TU DF 1 - FluchttÖºre Endausgang: 8 doors (12%)
   - TU DF 1 - Stahl-Eckzarge FalztÖºre: 8 doors (12%)
   - TU Fassade - 1-flg-DrehflÖºgel: 2 doors (3%)
   - TU DF 2 - Rahmenstock flÖ§chenbÖºndig: 2 doors (3%)</t>
  </si>
  <si>
    <t>Total Walls: 178
   Wall Types:
   - Basiswand:Metall-EinfachstÖ§nderwand 2-lagig beplankt  (MW12BF): 46 walls (25.8%)
   - Basiswand:STB 200: 45 walls (25.3%)
   - Basiswand:STB 250: 25 walls (14.0%)
   - Basiswand:GK 75 - Toilettentrennwand: 16 walls (9.0%)
   - Basiswand:WD hart 200: 12 walls (6.7%)
   - Basiswand:Leichtbetonmauerwerk 250: 10 walls (5.6%)
   - Basiswand:GK 100 - Doppelbeplankt: 8 walls (4.5%)
   - Basiswand:STB 300: 4 walls (2.2%)
   - Basiswand:WD 200 + Luft 40 + Bekleidung 12: 4 walls (2.2%)
   - Basiswand:Metall-EinfachstÖ§nderwand 2-lagig beplankt - SanitÖ§r: 4 walls (2.2%)
   - Basiswand:GK VS - SanitÖ§r: 4 walls (2.2%)</t>
  </si>
  <si>
    <t>Total Interior Walls: 78
   Interior Wall Types:
   - Basiswand:Metall-EinfachstÖ§nderwand 2-lagig beplankt  (MW12BF): 46 walls (59.0%)
   - Basiswand:GK 75 - Toilettentrennwand: 16 walls (20.5%)
   - Basiswand:GK 100 - Doppelbeplankt: 8 walls (10.3%)
   - Basiswand:Metall-EinfachstÖ§nderwand 2-lagig beplankt - SanitÖ§r: 4 walls (5.1%)
   - Basiswand:GK VS - SanitÖ§r: 4 walls (5.1%)</t>
  </si>
  <si>
    <t>Wall Materials by Type:
   Basiswand:Leichtbetonmauerwerk 250:
     - Leichtbeton - Mauerwerk
   Basiswand:STB 200:
     - Ortbeton - bewehrt
   Basiswand:STB 250:
     - Ortbeton - bewehrt
   Basiswand:STB 300:
     - Ortbeton - bewehrt Verputzt
   Basiswand:WD hart 200:
     - DÖ§mmung - hart
   Basiswand:GK 100 - Doppelbeplankt:
     - Trockenbau - Gipsplatte
     - DÖ§mmung - weich
   Basiswand:GK 75 - Toilettentrennwand:
     - Trockenbau - Gipsplatte
     - DÖ§mmung - weich
   Basiswand:GK VS - SanitÖ§r:
     - Trockenbau - Gipsplatte
     - DÖ§mmung - weich
   Basiswand:Metall-EinfachstÖ§nderwand 2-lagig beplankt  (MW12BF):
     - Trockenbau - Rigips Die Blaue RFI
     - Default Wall
   Basiswand:Metall-EinfachstÖ§nderwand 2-lagig beplankt - SanitÖ§r:
     - Trockenbau - Rigips Die Blaue RFI
     - Steinwolle (Rockwool Fixrock033 VS)
     - Luftschicht
   Basiswand:WD 200 + Luft 40 + Bekleidung 12:
     - Faserzementplatte (Equitone - natura)
     - Luftschicht
     - Steinwolle (Rockwool Fixrock033 VS)</t>
  </si>
  <si>
    <t>Exterior Wall Materials by Type:
   Basiswand:STB 200:
     - Ortbeton - bewehrt
   Basiswand:STB 250:
     - Ortbeton - bewehrt
   Basiswand:WD hart 200:
     - DÖ§mmung - hart
   Basiswand:Leichtbetonmauerwerk 250:
     - Leichtbeton - Mauerwerk
   Basiswand:STB 300:
     - Ortbeton - bewehrt Verputzt
   Basiswand:WD 200 + Luft 40 + Bekleidung 12:
     - Faserzementplatte (Equitone - natura)
     - Luftschicht
     - Steinwolle (Rockwool Fixrock033 VS)</t>
  </si>
  <si>
    <t>Interior Wall Materials by Type:
   Basiswand:Metall-EinfachstÖ§nderwand 2-lagig beplankt  (MW12BF):
     - Trockenbau - Rigips Die Blaue RFI
     - Default Wall
   Basiswand:GK 75 - Toilettentrennwand:
     - Trockenbau - Gipsplatte
     - DÖ§mmung - weich
   Basiswand:GK 100 - Doppelbeplankt:
     - Trockenbau - Gipsplatte
     - DÖ§mmung - weich
   Basiswand:Metall-EinfachstÖ§nderwand 2-lagig beplankt - SanitÖ§r:
     - Trockenbau - Rigips Die Blaue RFI
     - Steinwolle (Rockwool Fixrock033 VS)
     - Luftschicht
   Basiswand:GK VS - SanitÖ§r:
     - Trockenbau - Gipsplatte
     - DÖ§mmung - weich</t>
  </si>
  <si>
    <t>Wall Thickness by Type:
   - Basiswand:GK 100 - Doppelbeplankt: 0.100 m (100 mm)
   - Basiswand:GK 75 - Toilettentrennwand: 0.075 m (75 mm)
   - Basiswand:GK VS - SanitÖ§r: 0.065 m (65 mm)
   - Basiswand:Leichtbetonmauerwerk 250: 0.250 m (250 mm)
   - Basiswand:Metall-EinfachstÖ§nderwand 2-lagig beplankt  (MW12BF): 0.150 m (150 mm)
   - Basiswand:Metall-EinfachstÖ§nderwand 2-lagig beplankt - SanitÖ§r: 0.400 m (400 mm)
   - Basiswand:STB 200: 0.200 m (200 mm)
   - Basiswand:STB 250: 0.250 m (250 mm)
   - Basiswand:STB 300: 0.300 m (300 mm)
   - Basiswand:WD 200 + Luft 40 + Bekleidung 12: 0.252 m (252 mm)
   - Basiswand:WD hart 200: 0.200 m (200 mm)</t>
  </si>
  <si>
    <t>Total Railings: 13
    Railing Types:
    - GelÖ§nder: 13 elements</t>
  </si>
  <si>
    <t>Total Beams: 14
   Beam Types:
   - STB TrÖ§ger - rechteckig:STB 250 x 500: 14 beams (100.0%)</t>
  </si>
  <si>
    <t>Total Columns: 62
   Column Types:
   - STB StÖºtze - rechteckig:STB 250 x 400: 32 columns (51.6%)
   - STB StÖºtze - rechteckig:STB 250 x 250: 30 columns (48.4%)</t>
  </si>
  <si>
    <t>Structural Materials Used:
   - Leichtbeton - Mauerwerk
   - Metall - Edelstahl gebÖºrstet
   - Metall - Edelstahl satiniert
   - Metall - Zink
   - Ortbeton - bewehrt
   - Ortbeton - bewehrt Verputzt</t>
  </si>
  <si>
    <t>Column Dimensions:
    - 250 x 400 mm: 32 columns (51.6%)
    - STB StÖºtze - rechteckig:STB 250 x 250: 30 columns (48.4%)</t>
  </si>
  <si>
    <t>Total Roof Elements: 3
    Roof Element Types:
    - Roof Glazing System: 2 elements (66.7%)
    - Basisdach:Flachdachaufbau begrÖºnt 320: 1 elements (33.3%)</t>
  </si>
  <si>
    <t>Pipe Fitting Types:
   - Elbow Fitting: 582 fittings (78.3%)
   - Tee Fitting: 108 fittings (14.5%)
   - Transition Fitting: 44 fittings (5.9%)
   - Rundrohr-Verteiler 5-fach: 4 fittings (0.5%)
   - Rundrohr-Verteiler 5-fach_rÖºcklauf: 4 fittings (0.5%)
   - Verteiler - DN 35-200 - liNear Neutrale Bauteile #no5n2n3#: 1 fittings (0.1%)
   Pipe Fittings by Building Level:
   Ebene: B01_OKFB: 86 fittings
     - Elbow Fitting: 73
     - Tee Fitting: 10
     - Transition Fitting: 2
     - Verteiler - DN 35-200 - liNear Neutrale Bauteile #no5n2n3#: 1
   Ebene: E00_OKFB: 80 fittings
     - Elbow Fitting: 65
     - Transition Fitting: 15
   Ebene: E00_OKRD: 210 fittings
     - Elbow Fitting: 161
     - Tee Fitting: 46
     - Transition Fitting: 3
   Ebene: E00_UKRD: 24 fittings
     - Elbow Fitting: 20
     - Rundrohr-Verteiler 5-fach: 2
     - Rundrohr-Verteiler 5-fach_rÖºcklauf: 2
   Ebene: E01_OKFB: 92 fittings
     - Elbow Fitting: 68
     - Transition Fitting: 24
   Ebene: E01_OKRD: 231 fittings
     - Elbow Fitting: 179
     - Tee Fitting: 52
   Ebene: E01_UKRD: 20 fittings
     - Elbow Fitting: 16
     - Rundrohr-Verteiler 5-fach: 2
     - Rundrohr-Verteiler 5-fach_rÖºcklauf: 2</t>
  </si>
  <si>
    <t>Valve Types:
   - Kugelhahn DN 10 - 50 - Gewinde: 32 valves (49.2%)
   - Shut-off Valve: 11 valves (16.9%)
   - Absperrklappe Hebel - Flansch: 11 valves (16.9%)
   - RÖºckschlagklappe allgemein - Flansch: 5 valves (7.7%)
   - 3-Wege-Ventil - DN 15 - 50: 4 valves (6.2%)
   - Cap Valve: 1 valves (1.5%)
   - RÖºckschlagklappe - Flansch: 1 valves (1.5%)
   Valves by Building Level:
   Ebene: B01_OKFB: 25 valves
     - 3-Wege-Ventil - DN 15 - 50: 4
     - Absperrklappe Hebel - Flansch: 11
     - Cap Valve: 1
     - RÖºckschlagklappe - Flansch: 1
     - RÖºckschlagklappe allgemein - Flansch: 5
     - Shut-off Valve: 3
   Ebene: E00_OKRD: 20 valves
     - Kugelhahn DN 10 - 50 - Gewinde: 16
     - Shut-off Valve: 4
   Ebene: E01_OKRD: 20 valves
     - Kugelhahn DN 10 - 50 - Gewinde: 16
     - Shut-off Valve: 4</t>
  </si>
  <si>
    <t>Pipe Fitting Types:
   - Bogen Edelstahl - Press: 166 fittings (40.4%)
   - HT Elbow Fitting: 103 fittings (25.1%)
   - T-StÖºck Edelstahl - Press: 53 fittings (12.9%)
   - HT Tee Fitting: 52 fittings (12.7%)
   - Öúbergang Edelstahl - Press: 22 fittings (5.4%)
   - Enddeckel HT: 10 fittings (2.4%)
   - HT Transition Fitting: 5 fittings (1.2%)
   Pipe Fittings by Building Level:
   Ebene: B01_OKFB: 14 fittings
     - Bogen Edelstahl - Press: 8
     - HT Elbow Fitting: 4
     - HT Tee Fitting: 1
     - T-StÖºck Edelstahl - Press: 1
   Ebene: B01_UKRD: 12 fittings
     - Bogen Edelstahl - Press: 12
   Ebene: E00_OKFB: 228 fittings
     - Bogen Edelstahl - Press: 80
     - Enddeckel HT: 6
     - HT Elbow Fitting: 61
     - HT Tee Fitting: 33
     - HT Transition Fitting: 5
     - T-StÖºck Edelstahl - Press: 29
     - Öúbergang Edelstahl - Press: 14
   Ebene: E00_UKRD: 13 fittings
     - Bogen Edelstahl - Press: 5
     - HT Elbow Fitting: 3
     - T-StÖºck Edelstahl - Press: 5
   Ebene: E01_OKFB: 140 fittings
     - Bogen Edelstahl - Press: 61
     - Enddeckel HT: 4
     - HT Elbow Fitting: 31
     - HT Tee Fitting: 18
     - T-StÖºck Edelstahl - Press: 18
     - Öúbergang Edelstahl - Press: 8
   Ebene: E01_UKRD: 4 fittings
     - HT Elbow Fitting: 4</t>
  </si>
  <si>
    <t>Sanitary Terminal Types:
   - Wall-Hung Toilet: 34 terminals (47.2%)
   - WC UP-SpÖºlkasten BetÖ§tigung vorne: 16 terminals (22.2%)
   - Washbasin: 12 terminals (16.7%)
   - Urinal: 6 terminals (8.3%)
   - Sink: 4 terminals (5.6%)
   Sanitary Terminals by Building Level:
   Ebene: E00_OKFB: 46 terminals
     - Sink: 2
     - Urinal: 6
     - WC UP-SpÖºlkasten BetÖ§tigung vorne: 8
     - Wall-Hung Toilet: 22
     - Washbasin: 8
   Ebene: E01_OKFB: 26 terminals
     - Sink: 2
     - WC UP-SpÖºlkasten BetÖ§tigung vorne: 8
     - Wall-Hung Toilet: 12
     - Washbasin: 4</t>
  </si>
  <si>
    <t>Duct Types Used:
   - Rectangular Duct 150/150 (Exhaust Air): 83 segments, 11673.71 m total length
   - Rectangular Duct 150/150 (Supply Air): 56 segments, 19301.76 m total length
   - Rectangular Duct 150/400 (Exhaust Air): 1 segments, 225.20 m total length
   - Rectangular Duct 175/175 (Exhaust Air): 3 segments, 458.31 m total length
   - Rectangular Duct 175/175 (Supply Air): 3 segments, 992.02 m total length
   - Rectangular Duct 200/200 (Exhaust Air): 14 segments, 3804.13 m total length
   - Rectangular Duct 200/200 (Supply Air): 44 segments, 5333.03 m total length
   - Rectangular Duct 200/250 (Exhaust Air): 1 segments, 70.20 m total length
   - Rectangular Duct 200/350 (Exhaust Air): 1 segments, 60.20 m total length
   - Rectangular Duct 225/225 (Exhaust Air): 6 segments, 579.91 m total length
   - Rectangular Duct 225/225 (Supply Air): 3 segments, 16.70 m total length
   - Rectangular Duct 250/250 (Exhaust Air): 6 segments, 1486.40 m total length
   - Rectangular Duct 250/250 (Supply Air): 13 segments, 2501.43 m total length
   - Rectangular Duct 250/400 (Exhaust Air): 1 segments, 47.50 m total length
   - Rectangular Duct 275/275 (Exhaust Air): 9 segments, 898.06 m total length
   - Rectangular Duct 275/275 (Supply Air): 10 segments, 956.92 m total length
   - Rectangular Duct 300/300 (Exhaust Air): 7 segments, 1542.83 m total length
   - Rectangular Duct 300/300 (Supply Air): 6 segments, 1645.66 m total length
   - Rectangular Duct 300/400 (Exhaust Air): 2 segments, 409.15 m total length
   - Rectangular Duct 325/325 (Exhaust Air): 5 segments, 1551.99 m total length
   - Rectangular Duct 325/325 (Supply Air): 3 segments, 11.71 m total length
   - Rectangular Duct 350/350 (Exhaust Air): 7 segments, 909.07 m total length
   - Rectangular Duct 350/350 (Supply Air): 4 segments, 95.16 m total length
   - Rectangular Duct 375/350 (Exhaust Air): 3 segments, 6.66 m total length
   - Rectangular Duct 375/350 (Supply Air): 2 segments, 4.85 m total length
   - Rectangular Duct 400/350 (Exhaust Air): 4 segments, 1284.44 m total length
   - Rectangular Duct 400/350 (Supply Air): 4 segments, 14.08 m total length
   - Rectangular Duct 425/350 (Exhaust Air): 3 segments, 914.82 m total length
   - Rectangular Duct 450/350 (Exhaust Air): 1 segments, 3.56 m total length
   - Rectangular Duct 450/350 (Supply Air): 1 segments, 6.53 m total length
   - Rectangular Duct 475/350 (Exhaust Air): 7 segments, 1238.20 m total length
   - Rectangular Duct 475/350 (Supply Air): 6 segments, 2406.42 m total length
   - Rectangular Duct 500/250 (Exhaust Air): 2 segments, 1292.45 m total length
   - Rectangular Duct 500/350 (Exhaust Air): 2 segments, 72.44 m total length
   - Rectangular Duct 500/350 (Supply Air): 7 segments, 576.33 m total length
   - Rectangular Duct 525/350 (Exhaust Air): 1 segments, 4.81 m total length
   - Rectangular Duct 525/350 (Supply Air): 8 segments, 709.73 m total length
   - Rectangular Duct 525/400 (Supply Air): 3 segments, 344.49 m total length
   - Rectangular Duct 550/350 (Exhaust Air): 6 segments, 1192.92 m total length
   - Rectangular Duct 550/350 (Supply Air): 3 segments, 553.90 m total length
   - Rectangular Duct 550/400 (Supply Air): 2 segments, 92.52 m total length
   - Rectangular Duct 575/350 (Exhaust Air): 3 segments, 476.31 m total length
   - Rectangular Duct 600/350 (Supply Air): 4 segments, 1086.48 m total length
   - Rectangular Duct 600/400 (Exhaust Air): 4 segments, 1282.48 m total length
   - Rectangular Duct 625/350 (Supply Air): 5 segments, 453.61 m total length
   - Rectangular Duct 625/400 (Exhaust Air): 2 segments, 8.31 m total length
   - Rectangular Duct 650/350 (Exhaust Air): 3 segments, 586.50 m total length
   - Rectangular Duct 650/350 (Supply Air): 1 segments, 4.32 m total length
   - Rectangular Duct 650/650 (Exhaust Air): 4 segments, 466.54 m total length
   - Rectangular Duct 650/650 (Supply Air): 4 segments, 1367.01 m total length
   - Rectangular Duct 675/400 (Exhaust Air): 1 segments, 3.24 m total length
   - Rectangular Duct 700/400 (Exhaust Air): 3 segments, 626.04 m total length
   - Rectangular Duct 700/400 (Supply Air): 1 segments, 110.31 m total length
   - Rectangular Duct 700/700 (Exhaust Air): 4 segments, 275.84 m total length
   - Rectangular Duct 700/700 (Supply Air): 3 segments, 100.98 m total length
   - Rectangular Duct 850/850 (Discharge Air): 7 segments, 1211.42 m total length
   - Rectangular Duct 850/850 (Exhaust Air): 5 segments, 1307.69 m total length
   - Rectangular Duct 850/850 (Outside Air): 7 segments, 877.54 m total length
   - Rectangular Duct 850/850 (Supply Air): 5 segments, 1038.66 m total length
   - Rectangular Duct 945/945 (Discharge Air): 1 segments, 56.09 m total length
   - Rectangular Duct 945/945 (Exhaust Air): 6 segments, 492.37 m total length
   - Rectangular Duct 945/945 (Outside Air): 2 segments, 127.50 m total length
   - Rectangular Duct 945/945 (Supply Air): 7 segments, 448.25 m total length
   - Rectangular Duct Ö∏123 (Exhaust Air): 75 segments, 2238.91 m total length
   - Rectangular Duct Ö∏123 (Supply Air): 67 segments, 2542.93 m total length
   - Rectangular Duct Ö∏140 (Exhaust Air): 1 segments, 130.00 m total length
   - Rectangular Duct Ö∏150 (Supply Air): 1 segments, 357.00 m total length
   - Rectangular Duct Ö∏160 (Supply Air): 16 segments, 5822.08 m total length</t>
  </si>
  <si>
    <t>Duct Fitting Types:
   - Rectangular Transition: 291 fittings (54.1%)
   - Kanalteilstutzen rechteck SU: 88 fittings (16.4%)
   - Rectangular Elbow: 83 fittings (15.4%)
   - Rectangular Tee: 39 fittings (7.2%)
   - Sattelstutzen rund: 18 fittings (3.3%)
   - Öúbergang rund kurz: 14 fittings (2.6%)
   - Bogen rund: 5 fittings (0.9%)
   Duct Fittings by Building Level:
   B01_OKRD: 36 fittings
     - Rectangular Elbow: 25
     - Rectangular Tee: 2
     - Rectangular Transition: 9
   E00_OKRD: 14 fittings
     - Rectangular Transition: 6
     - Sattelstutzen rund: 2
     - Öúbergang rund kurz: 6
   E01_OKRD: 488 fittings
     - Bogen rund: 5
     - Kanalteilstutzen rechteck SU: 88
     - Rectangular Elbow: 58
     - Rectangular Tee: 37
     - Rectangular Transition: 276
     - Sattelstutzen rund: 16
     - Öúbergang rund kurz: 8</t>
  </si>
  <si>
    <t>MEP Systems Present:
   - Heating System
     * Heat pump-based heating with radiators
     * Copper piping distribution network
     * Temperature sensors and circulation pumps
   - Plumbing System
     * Hot water distribution (16 zones)
     * Cold water supply
     * Wastewater collection
     * Rainwater drainage
   - Ventilation System
     * Supply air (Zuluft)
     * Exhaust air (Abluft)
     * Discharge air (Fortluft)
     * Outside air intake (AuÖüenluft)
   Total MEP Systems: 65
   - Heating systems: 42
   - Plumbing systems: 19
   - Ventilation systems: 4</t>
  </si>
  <si>
    <t>Column Dimensions Analysis:
   - M_Concrete-Round-Column with Drop Caps:M_1000: 1 column(s)
     Type: Circular
     Diameter: 1000 mm
   - M_L-Anglel-Column:L127X127X9.5: 2 column(s)
     Type: L-Angle
     Dimensions: 127Öó127Öó9.5 mm</t>
  </si>
  <si>
    <t>Slab System Overview:
   Total Slabs: 70
   Total slab volume: 4613.27 cu m
   Specific Slab Types:
   - Floor:23_FL_AT_breedplaatvloer_260 (C25/30): 30 slabs (42.9%)
   - Floor:23_FL_AT_breedplaatvloer_200 (C35/45): 10 slabs (14.3%)
   - 16_SFO_AT_Fundatiepoer:2700x1000x1500 (C30/37): 7 slabs (10.0%)
   - Floor:23_FL_AT_geÖØsoleerde kanaalplaatvloer_200:595438: 4 slabs (5.7%)
   - 16_SFO_AT_Fundatiepoer:800x800x800 (C30/37): 4 slabs (5.7%)
   - Floor:23_FL_AT_breedplaatvloer_200 (C25/30): 2 slabs (2.9%)
   - 16_SFO_AT_Fundatiepoer:2700x700x1500 (C30/37): 2 slabs (2.9%)
   - 16_SFO_AT_Fundatiepoer:2700x700x1500 (C30/37)_F: 2 slabs (2.9%)
   - 16_SFO_AT_Fundatiepoer:2700x700x1500 (C30/37)_G: 2 slabs (2.9%)
   - 16_SFO_AT_Fundatiepoer:2100x150x1500 (C30/37): 2 slabs (2.9%)
   - Floor:23_FL_AT_geÖØsoleerde kanaalplaatvloer_200: 1 slabs (1.4%)
   - Floor:23_FL_AT_breedplaatvloer_260 (C35/45): 1 slabs (1.4%)
   - Floor:23_FL_AT_breedplaatvloer_400 (C35/45): 1 slabs (1.4%)
   - 16_SFO_AT_Fundatiepoer:2700x1000x1500 (C30/37)_H: 1 slabs (1.4%)
   - 16_SFO_AT_Fundatiepoer:2530x4100x1500 (C30/37): 1 slabs (1.4%)
   Slab Thicknesses:
   - 400mm: 1 slab (1.4%)
   - 260mm: 31 slabs (44.3%)
   - 200mm: 12 slabs (17.1%)
   Concrete Grades:
   - C25/30: 32 slabs
   - C30/37: 21 slabs
   - C35/45: 12 slabs</t>
  </si>
  <si>
    <t>Valve Types in Building:
   Total Flow Control Devices: 859
   Specific Valve Types:
   - SA_DYKA PVC Binnenriolering, Universeel sifon wit, 50-50_MEPcontent:SA_DYKA PVC Binnenriolering, Universeel sifon wit, 50-50_MEPcontent: 211 units (24.6%)
   - M_Meter_Water_MEPcontent_Unspecified:Generic Water Meter: 105 units (12.2%)
   - NLRS_53_PA_UN_terugstroombeveiliging TBE-EA (DN)_Raminex:binnendraad DN25: 105 units (12.2%)
   - NLRS_50_PA_UN_kogelkraan s33 (geomet)_Raminex:binnendraad DN25 (1"): 105 units (12.2%)
   - M_Onbepaald Appendages, Kogelkraan met dubbele wartel Kogelkraan PN16, 25-25_MEPcontent:M_Onbepaald Appendages, Kogelkraan met dubbele wartel Kogelkraan PN16, 25-25_MEPcontent: 104 units (12.1%)
   - M_Meter_Water_MEPcontent_Unspecified1:Generic Water Meter: 101 units (11.8%)
   - NLRS_53_PA_UN_kogelkraan s28 met hendel, aftap en aftapper_Raminex:knelkoppeling Öò15: 101 units (11.8%)
   - Drogebrand_kraan:std: 16 units (1.9%)
   - NLRS_53_PA_UN_kogelkraan s28 met aftap en aftapper_Raminex:knelkoppeling DN25 / Öò28: 6 units (0.7%)
   - NLRS_53_PA_UN_kogelkraan s28 met vertragingshendel, aftap en aftapper_Raminex:knelkoppeling DN32: 4 units (0.5%)
   - SA_Nering Bogel, 1121RF 21x21 cm, 70_MEPcontent:SA_Nering Bogel, 1121RF 21x21 cm, 70_MEPcontent: 1 units (0.1%)
   Valve Functions Summary:
   - Shutoff: 320 units (37.3%)
   - Control: 228 units (26.5%)
   - Metering: 206 units (24.0%)
   - Safety: 105 units (12.2%)</t>
  </si>
  <si>
    <t>Pipe Accessories in Building:
   Total Pipe Accessories: 859
   Specific Accessory Types:
   - SA_DYKA PVC Binnenriolering, Universeel sifon wit, 50-50_MEPcontent:SA_DYKA PVC Binnenriolering, Universeel sifon wit, 50-50_MEPcontent: 211 units (24.6%)
   - M_Meter_Water_MEPcontent_Unspecified:Generic Water Meter: 105 units (12.2%)
   - NLRS_53_PA_UN_terugstroombeveiliging TBE-EA (DN)_Raminex:binnendraad DN25: 105 units (12.2%)
   - NLRS_50_PA_UN_kogelkraan s33 (geomet)_Raminex:binnendraad DN25 (1"): 105 units (12.2%)
   - M_Onbepaald Appendages, Kogelkraan met dubbele wartel Kogelkraan PN16, 25-25_MEPcontent:M_Onbepaald Appendages, Kogelkraan met dubbele wartel Kogelkraan PN16, 25-25_MEPcontent: 104 units (12.1%)
   - M_Meter_Water_MEPcontent_Unspecified1:Generic Water Meter: 101 units (11.8%)
   - NLRS_53_PA_UN_kogelkraan s28 met hendel, aftap en aftapper_Raminex:knelkoppeling Öò15: 101 units (11.8%)
   - Drogebrand_kraan:std: 16 units (1.9%)
   - NLRS_53_PA_UN_kogelkraan s28 met aftap en aftapper_Raminex:knelkoppeling DN25 / Öò28: 6 units (0.7%)
   - NLRS_53_PA_UN_kogelkraan s28 met vertragingshendel, aftap en aftapper_Raminex:knelkoppeling DN32: 4 units (0.5%)
   - SA_Nering Bogel, 1121RF 21x21 cm, 70_MEPcontent:SA_Nering Bogel, 1121RF 21x21 cm, 70_MEPcontent: 1 units (0.1%)
   Pipe Accessory Functions:
   - Flow measurement, control, and safety components</t>
  </si>
  <si>
    <t>Air Flow Controllers Overview:
   Total Flow Controllers: 669
   Specific Controller Types:
   - PIQCV met meetnippels:PIQCV DN20: 210 units (31.4%)
   - VE_Fire Damper_Round_MEPcontent:RF Technologies, Vlinderklep SC+60, 160-160: 111 units (16.6%)
   - M_Meter_Energy_MEPcontent_Sensus_PolluStat E_NL-EN:3/4''_0.6_110: 105 units (15.7%)
   - 6-weg regelkogelkraan DN15-20 V3:6-wegklep DN20: 105 units (15.7%)
   - A_VE_Ventilation_Unit_MEPcontent_Duco_DucoBox:Focus: 105 units (15.7%)
   - VE_Fire Damper_Rectangular_MEPcontent:Solid Air, Brandklep WK45, 175x300-175x300_21ebe881669ad72bab94e9b274215baa: 26 units (3.9%)
   - VE_Ventilation_Unit_MEPcontent_Duco_DucoBox:Focus: 2 units (0.3%)
   - NLRS_50_PA_UN_kogelkraan s33 (geomet)_Raminex:binnen- / buitendraad DN15 (1/2"): 1 units (0.1%)
   - NLRS_53_PA_UN_terugstroombeveiliging TBE-EA (DN)_Raminex:binnendraad DN15: 1 units (0.1%)
   - M_Meter_Water_MEPcontent_Unspecified:Generic Water Meter: 1 units (0.1%)
   - NLRS_53_PA_UN_kogelkraan s28 met hendel, aftap en aftapper_Raminex:knelkoppeling Öò15: 1 units (0.1%)
   - 350_57_rond_regelklep_Luka:roestvast_staal: 1 units (0.1%)
   Controller Functions Summary:
   - General Control: 424 units (63.4%)
   - Air Flow Control: 243 units (36.3%)
   - Hydronic Control: 2 units (0.3%)</t>
  </si>
  <si>
    <t>Total Walls: 121
   Wall Types and Quantities:
   - Kalksandstein 2816491304 300: 59 walls (48.8%)
   - Kalksandstein 2816491304 200: 54 walls (44.6%)
   - Kalksandstein 2774059904 300: 8 walls (6.6%)</t>
  </si>
  <si>
    <t>Total Exterior Walls: 54
   Exterior Wall Types:
   - Kalksandstein 2816491304 300: 46 walls (85.2%)
   - Kalksandstein 2774059904 300: 8 walls (14.8%)</t>
  </si>
  <si>
    <t>Total Interior Walls: 67
   Interior Wall Types:
   - Kalksandstein 2816491304 200: 54 walls (80.6%)
   - Kalksandstein 2816491304 300: 13 walls (19.4%)</t>
  </si>
  <si>
    <t>Total Wall Materials Identified: 1
   Wall Materials and Usage:
   - Kalksandstein: 121 walls (100.0%)
     Kalksandstein 2774059904 300: 8 walls
     Kalksandstein 2816491304 200: 54 walls
     Kalksandstein 2816491304 300: 59 walls</t>
  </si>
  <si>
    <t>Exterior Wall Materials:
   - Kalksandstein: 54 walls (100.0%)
     Kalksandstein 2816491304 300: 46 walls
     Kalksandstein 2774059904 300: 8 walls</t>
  </si>
  <si>
    <t>Interior Wall Materials:
   - Kalksandstein: 67 walls (100.0%)
     Kalksandstein 2816491304 300: 13 walls
     Kalksandstein 2816491304 200: 54 walls</t>
  </si>
  <si>
    <t>Wall Thicknesses by Type:
   - 200mm: 54 walls (44.6%)
   - 300mm: 67 walls (55.4%)
   Wall Type Breakdown:
   - Kalksandstein 2816491304 300: 300mm (59 walls)
   - Kalksandstein 2816491304 200: 200mm (54 walls)
   - Kalksandstein 2774059904 300: 300mm (8 walls)</t>
  </si>
  <si>
    <t>What is the total combined length of inside walls?</t>
  </si>
  <si>
    <t>What is the total length of outside walls?</t>
  </si>
  <si>
    <t>Total Interior wall length is 522.2 m.</t>
  </si>
  <si>
    <t>Total Exterior wall length is 643.8 m.</t>
  </si>
  <si>
    <t>No Sanitary fixtures were found in this model.</t>
  </si>
  <si>
    <t>What software and ifc standards were used to create this model?</t>
  </si>
  <si>
    <t>IFC file generated by GRAPHISOFT ARCHICAD-64 20.0.0 GER FULL Windows version. IFC version is 4.</t>
  </si>
  <si>
    <t>What modelling program and ifc standard were used to create this model?</t>
  </si>
  <si>
    <t>The model is created using Autodesk Revit Architecture 2011 - 1.0, and utilizes IFC2X3.</t>
  </si>
  <si>
    <t>Which walls are used for the building's exterior?</t>
  </si>
  <si>
    <t>How is the building's space utilized by function?</t>
  </si>
  <si>
    <t>What is the building's total gross floor area?</t>
  </si>
  <si>
    <t>What is the building's electrical load?</t>
  </si>
  <si>
    <t>What materials are used on the building's exterior walls?</t>
  </si>
  <si>
    <t>What is the facade's total surface area?</t>
  </si>
  <si>
    <t>How efficient is the building's structural system?</t>
  </si>
  <si>
    <t>What is the building's footprint area?</t>
  </si>
  <si>
    <t>Wall Materials Used: 1 unique materials
   Leichtbeton 102890359:
   - Used in: Leichtbeton 102890359 240, Leichtbeton 102890359 300</t>
  </si>
  <si>
    <t>Exterior Wall Materials:
   - Leichtbeton 102890359</t>
  </si>
  <si>
    <t>Total Walls: 13
   Wall Types:
   - Leichtbeton 102890359 300: 8 walls
   - Leichtbeton 102890359 240: 5 walls</t>
  </si>
  <si>
    <t>Exterior Walls: 8 walls
   Exterior Wall Types:
   - Leichtbeton 102890359 300
   Exterior Wall Properties:
   - Thickness: 300mm
   - Material: Leichtbeton 102890359
   - Total Length: 85.60 m</t>
  </si>
  <si>
    <t>Interior Walls: 5 walls
   Interior Wall Types:
   - Leichtbeton 102890359 240
   Interior Wall Properties:
   - Thickness: 240mm
   - Material: Leichtbeton 102890359
   - Total Length: 24.06 m</t>
  </si>
  <si>
    <t>Interior Wall Materials:
   - Leichtbeton 102890359</t>
  </si>
  <si>
    <t>Exterior Walls are 85.60 m in total.</t>
  </si>
  <si>
    <t>Interior Walls are 24.06 m in total.</t>
  </si>
  <si>
    <t>Total Walls: 849
   Complete Wall Types and Quantities:
   - Betongvegg 200: 139 walls (16.4%)
   - AV02T: 111 walls (13.1%)
   - AV03T: 81 walls (9.5%)
   - AV52T: 77 walls (9.1%)
   - AV50T: 56 walls (6.6%)
   - AV51T: 55 walls (6.5%)
   - AV04T: 42 walls (4.9%)
   - AV07T: 32 walls (3.8%)
   - AV57T: 31 walls (3.7%)
   - AV01T: 27 walls (3.2%)
   - AV14T: 26 walls (3.1%)
   - AV55T: 24 walls (2.8%)
   - AV15T: 18 walls (2.1%)
   - Skjørt: 13 walls (1.5%)
   - AV13T: 12 walls (1.4%)
   - AV60T: 10 walls (1.2%)
   - AV19T: 9 walls (1.1%)
   - AV16T: 8 walls (0.9%)
   - Rekkverk: 8 walls (0.9%)
   - AV54T: 7 walls (0.8%)
   - AV53T: 7 walls (0.8%)
   - Betongvegg 250: 7 walls (0.8%)
   - AV11aT: 6 walls (0.7%)
   - AV56T: 6 walls (0.7%)
   - Utlekting trapp: 5 walls (0.6%)
   - Gesims_AV52T: 5 walls (0.6%)
   - AV18T: 4 walls (0.5%)
   - AV06T: 4 walls (0.5%)
   - AV11T: 4 walls (0.5%)
   - Foldevegg: 3 walls (0.4%)
   - AV17T: 2 walls (0.2%)
   - AV05T: 2 walls (0.2%)
   - Skråvegg aud.: 1 walls (0.1%)
   - AV12T: 1 walls (0.1%)
   - AV10T: 1 walls (0.1%)
   - Utlekting: 1 walls (0.1%)
   - Utlekting aud.: 1 walls (0.1%)
   - AV58T: 1 walls (0.1%)
   - AV11bT: 1 walls (0.1%)
   - AV08T: 1 walls (0.1%)</t>
  </si>
  <si>
    <t>Total Exterior Walls: 267
   Exterior Wall Types and Quantities:
   - AV52T: 66 walls (24.7%)
   - AV50T: 50 walls (18.7%)
   - AV51T: 47 walls (17.6%)
   - AV55T: 24 walls (9.0%)
   - AV57T: 18 walls (6.7%)
   - AV60T: 10 walls (3.7%)
   - AV19T: 9 walls (3.4%)
   - AV13T: 9 walls (3.4%)
   - AV16T: 8 walls (3.0%)
   - AV54T: 7 walls (2.6%)
   - AV56T: 6 walls (2.2%)
   - Utlekting trapp: 5 walls (1.9%)
   - AV53T: 4 walls (1.5%)
   - Skråvegg aud.: 1 walls (0.4%)
   - AV01T: 1 walls (0.4%)
   - AV04T: 1 walls (0.4%)
   - AV58T: 1 walls (0.4%)</t>
  </si>
  <si>
    <t>Total Interior Walls: 582
   Interior Wall Types and Quantities:
   - Betongvegg 200: 139 walls (23.9%)
   - AV02T: 111 walls (19.1%)
   - AV03T: 81 walls (13.9%)
   - AV04T: 41 walls (7.0%)
   - AV07T: 32 walls (5.5%)
   - AV01T: 26 walls (4.5%)
   - AV14T: 26 walls (4.5%)
   - AV15T: 18 walls (3.1%)
   - AV57T: 13 walls (2.2%)
   - Skjørt: 13 walls (2.2%)
   - AV52T: 11 walls (1.9%)
   - Rekkverk: 8 walls (1.4%)
   - AV51T: 8 walls (1.4%)
   - Betongvegg 250: 7 walls (1.2%)
   - AV11aT: 6 walls (1.0%)
   - AV50T: 6 walls (1.0%)
   - Gesims_AV52T: 5 walls (0.9%)
   - AV18T: 4 walls (0.7%)
   - AV06T: 4 walls (0.7%)
   - AV11T: 4 walls (0.7%)
   - Foldevegg: 3 walls (0.5%)
   - AV13T: 3 walls (0.5%)
   - AV53T: 3 walls (0.5%)
   - AV17T: 2 walls (0.3%)
   - AV05T: 2 walls (0.3%)
   - AV12T: 1 walls (0.2%)
   - AV10T: 1 walls (0.2%)
   - Utlekting: 1 walls (0.2%)
   - Utlekting aud.: 1 walls (0.2%)
   - AV11bT: 1 walls (0.2%)
   - AV08T: 1 walls (0.2%)</t>
  </si>
  <si>
    <t>Total Unique Materials in Exterior Walls: 10
   Exterior Wall Types with Material Data: 17
   Exterior Wall Type Material Compositions:
   AV52T:
     - Gips: 11mm
     - Bindingsverk: 120mm
     - Sløyfer: 25mm
     - Platekledning: 10mm
     - Isolasjon : 50mm
     - cut stone: 150mm
     - Puss: 15mm
     - Stålbindv.: 150mm
     Total thickness: 531mm
   AV50T:
     - Gips: 11mm
     - Bindingsverk: 148mm
     - Isolasjon : 50mm
     - cut stone: 150mm
     - Puss: 15mm
     Total thickness: 374mm
   AV51T:
     - Bindingsverk: 50mm
     - Gips: 9mm
     - Isolasjon : 50mm
     - cut stone: 150mm
     - Puss: 15mm
     Total thickness: 274mm
   AV55T:
     - Stålbindv.: 150mm
     - cut stone: 150mm
     - Puss: 15mm
     Total thickness: 315mm
   AV57T:
     - Gips: 11mm
     - Bindingsverk: 148mm
     - Stålbindv.: 150mm
     Total thickness: 309mm
   AV60T:
     - Kryssfiner: 15mm
     - Bindingsverk: 56mm
     Total thickness: 71mm
   AV19T:
     - Bindingsverk: 148mm
     - Gips: 13mm
     Total thickness: 161mm
   AV13T:
     - Puss: 10mm
     - Lettklinker: 150mm
     Total thickness: 160mm
   AV16T:
     - Gips: 13mm
     - Stålbindv.: 178mm
     Total thickness: 191mm
   AV54T:
     - cut stone: 150mm
     - Puss: 15mm
     Total thickness: 165mm
   AV56T:
     - Gips: 11mm
     - Bindingsverk: 148mm
     - Sløyfer: 25mm
     - Platekledning: 10mm
     Total thickness: 194mm
   Utlekting trapp:
     - Bindingsverk: 148mm
     - Gips: 13mm
     Total thickness: 161mm
   AV53T:
     - Gips: 11mm
     - Bindingsverk: 148mm
     Total thickness: 159mm
   Skråvegg aud.:
     - Gips: 11mm
     - Bindingsverk: 148mm
     - Sløyfer: 25mm
     - Platekledning: 10mm
     Total thickness: 194mm
   AV01T:
     - Gips: 13mm
     - Stålbindv.: 100mm
     Total thickness: 113mm
   AV04T:
     - Gips: 13mm
     - Stålbindv.: 120mm
     Total thickness: 133mm
   AV58T:
     - Stålbindv.: 150mm
     Total thickness: 150mm</t>
  </si>
  <si>
    <t>Total Unique Materials in Interior Walls: 15
   Interior Wall Types with Material Data: 30
   Interior Wall Type Material Compositions:
   Betongvegg 200:
     - Betong bærende: 201mm
     Total thickness: 201mm
   AV02T:
     - Gips: 13mm
     - Stålbindv.: 100mm
     Total thickness: 113mm
   AV03T:
     - Gips: 13mm
     - Stålbindv.: 100mm
     Total thickness: 113mm
   AV04T:
     - Gips: 13mm
     - Stålbindv.: 120mm
     Total thickness: 133mm
   AV07T:
     - Gips protect: 15mm
     - Stålbindv.: 70mm
     Total thickness: 85mm
   AV01T:
     - Gips: 13mm
     - Stålbindv.: 100mm
     Total thickness: 113mm
   AV14T:
     - Glass: 100mm
     Total thickness: 100mm
   AV15T:
     - Glass: 100mm
     Total thickness: 100mm
   AV57T:
     - Gips: 11mm
     - Bindingsverk: 148mm
     - Stålbindv.: 150mm
     Total thickness: 309mm
   Skjørt:
     - Gips: 13mm
     - Stålbindv.: 100mm
     Total thickness: 113mm
   AV52T:
     - Stålbindv.: 69mm
     - Gips: 10mm
     - Krysslekting: 30mm
     - Gips protect: 13mm
     - Kryssfiner: 15mm
     - Bindingsverk: 148mm
     - Isolasjon : 50mm
     - cut stone: 150mm
     - Puss: 15mm
     Total thickness: 500mm
   Rekkverk:
     - air space: 60mm
     Total thickness: 60mm
   AV51T:
     - Bindingsverk: 50mm
     - Gips: 9mm
     - Isolasjon : 50mm
     - cut stone: 150mm
     - Puss: 15mm
     Total thickness: 274mm
   Betongvegg 250:
     - Betong bærende: 200mm
     Total thickness: 200mm
   AV11aT:
     - Stålbindv.: 15mm
     - Gips: 13mm
     - Krysslekting: 30mm
     - Gips protect: 13mm
     Total thickness: 71mm
   AV50T:
     - Gips: 11mm
     - Bindingsverk: 148mm
     - Isolasjon : 50mm
     - cut stone: 150mm
     - Puss: 15mm
     - Kryssfiner: 15mm
     Total thickness: 389mm
   Gesims_AV52T:
     - Kryssfiner: 15mm
     - Bindingsverk: 148mm
     - Gips: 9mm
     - Isolasjon : 50mm
     - cut stone: 150mm
     - Puss: 15mm
     Total thickness: 387mm
   AV18T:
     - Gips: 13mm
     - Stålbindv.: 170mm
     Total thickness: 183mm
   AV06T:
     - Gips: 13mm
     - Stålbindv.: 170mm
     Total thickness: 183mm
   AV11T:
     - Gips: 13mm
     - Stålbindv.: 100mm
     - Krysslekting: 30mm
     - Gips protect: 13mm
     Total thickness: 156mm
   AV13T:
     - Puss: 10mm
     - Lettklinker: 150mm
     Total thickness: 160mm
   AV53T:
     - Gips: 11mm
     - Bindingsverk: 115mm
     - Isolasjon : 50mm
     - cut stone: 150mm
     Total thickness: 326mm
   AV17T:
     - Gips: 13mm
     - Leca: 13mm
     - Stålbindv.: 100mm
     - air space: 50mm
     Total thickness: 176mm
   AV05T:
     - Gips: 13mm
     - Leca: 13mm
     - Stålbindv.: 100mm
     - Spalte: 20mm
     Total thickness: 146mm
   AV12T:
     - Gips: 13mm
     - Stålbindv.: 100mm
     Total thickness: 113mm
   AV10T:
     - Puss: 10mm
     - Lettklinker: 150mm
     Total thickness: 160mm
   Utlekting:
     - air space: 10mm
     - Bindingsverk: 100mm
     - Gips: 13mm
     Total thickness: 123mm
   Utlekting aud.:
     - Bindingsverk: 148mm
     - Gips: 13mm
     Total thickness: 161mm
   AV11bT:
     - Gips: 13mm
     - Stålbindv.: 85mm
     Total thickness: 98mm
   AV08T:
     - Gips: 13mm
     - Stålbindv.: 100mm
     Total thickness: 113mm</t>
  </si>
  <si>
    <t>Wall Thickness Overview:
   - Thickness range: 60 - 387 mm
   Unique Wall Thicknesses by Type:
   - Betongvegg 200: 200mm, 220mm (139 walls)
   - AV02T: 139mm (111 walls)
   - AV03T: 152mm (81 walls)
   - AV52T: 71mm, 150mm, 205mm, 274mm, 387mm (77 walls)
   - AV50T: 385mm, 387mm (56 walls)
   - AV51T: 259mm, 274mm (55 walls)
   - AV04T: 172mm (42 walls)
   - AV07T: 100mm (32 walls)
   - AV57T: 150mm, 170mm (31 walls)
   - AV01T: 126mm (27 walls)
   - AV14T: 100mm (26 walls)
   - AV55T: 150mm, 165mm (24 walls)
   - AV15T: 100mm (18 walls)
   - Skjørt: 126mm (13 walls)
   - AV13T: 170mm (12 walls)
   - AV60T: 71mm (10 walls)
   - AV19T: 161mm (9 walls)
   - AV16T: 191mm (8 walls)
   - Rekkverk: 60mm (8 walls)
   - AV54T: 165mm (7 walls)
   - AV53T: 170mm, 259mm, 370mm (7 walls)
   - Betongvegg 250: 200mm (7 walls)
   - AV11aT: 71mm (6 walls)
   - AV56T: 205mm (6 walls)
   - Utlekting trapp: 161mm (5 walls)
   - Gesims_AV52T: 387mm (5 walls)
   - AV18T: 196mm (4 walls)
   - AV06T: 222mm (4 walls)
   - AV11T: 182mm (4 walls)
   - AV17T: 315mm (2 walls)
   - AV05T: 272mm (2 walls)
   - Skråvegg aud.: 205mm (1 walls)
   - AV12T: 126mm (1 walls)
   - AV10T: 160mm (1 walls)
   - Utlekting: 136mm (1 walls)
   - Utlekting aud.: 161mm (1 walls)
   - AV58T: 150mm (1 walls)
   - AV11bT: 111mm (1 walls)
   - AV08T: 113mm (1 walls)</t>
  </si>
  <si>
    <t>69 IfcFlowTerminal elements belonging to plumbing system are found.</t>
  </si>
  <si>
    <t>Building Scale:
   - Total Architectural Elements: 3341
   - Total Structural Elements: 25
   - Total Spaces: 108 defined spaces
   - Building Classification: Multi-story building
   Building Levels defined:
   - Fundament: Elevation -4.40 m
   - Kælder: Elevation -3.50 m
   - Grundplan: Building level
   - 1. Sal: Elevation 3.50 m
   - 2. Sal: Elevation 7.00 m
   - 3. Sal: Elevation 10.50 m
   - 4. Sal: Elevation 14.00 m
   - 5. Sal: Elevation 17.50 m
   - 6. sal: Elevation 20.64 m
   - Tag: Elevation 23.64 m</t>
  </si>
  <si>
    <t>Largest Room: Rum nr. K13
   Zone: Rum nr. K13
   Area: 220.5 sq m
   Level: Kælder
   Ceiling Height: 3.14 m</t>
  </si>
  <si>
    <t>Total Exterior Walls: 34
   Exterior Wall Types:
   - _DK  Ydervæg, tegl/Beton, 588, 108/180 (588mm): 24 walls (71%)
   - Beton - Insitu Udfyldning (588mm): 4 walls (12%)
   - _DK  Ydervæg, let, 488 (388mm): 4 walls (12%)
   - _DK  Ydervæg, beklædning/beton, 396 (376mm): 2 walls (6%)</t>
  </si>
  <si>
    <t>Total Gross Floor Area: 4210.4 sq m
   Area by Level:
   - Kælder: 596.0 sq m (14.2%)
   - Grundplan: 606.7 sq m (14.4%)
   - 1. Sal: 482.1 sq m (11.4%)
   - 2. Sal: 600.2 sq m (14.3%)
   - 3. Sal: 600.4 sq m (14.3%)
   - 4. Sal: 607.7 sq m (14.4%)
   - 5. Sal: 600.9 sq m (14.3%)
   - 6. sal: 116.4 sq m (2.8%)</t>
  </si>
  <si>
    <t>Building Level Heights:
   - Kælder: 3.50m
   - Grundplan: 3.50m
   - 1. Sal: 3.50m
   - 2. Sal: 3.50m
   - 3. Sal: 3.50m
   - 4. Sal: 3.50m
   - 5. Sal: 3.14m
   - 6. sal: 3.00m</t>
  </si>
  <si>
    <t>Total Coverings: 4
   Covering Materials:
   - Inddækning: 4 elements</t>
  </si>
  <si>
    <t>Total Sanitary Equipment: 42 fixtures
Sanitary Equipment Types:
- WC 25: 21 fixtures
- Basin 25: 21 fixtures
Sanitary Equipment by Space:
Rum nr. K05, Unknown (Kælder):
- WC 25
- Basin 25
Rum nr. K06, Toilet (Kælder):
- WC 25
- Basin 25
Rum nr. K07, Toilet (Kælder):
- WC 25
- Basin 25
Rum nr. S08, Toilet (Grundplan):
- WC 25
- Basin 25
Rum nr. S10, Toilet (Grundplan):
- WC 25
- Basin 25
Rum nr. S11, Toilet (Grundplan):
- WC 25
- Basin 25
Rum nr. 110, Toilet (1. Sal):
- WC 25
- Basin 25
Rum nr. 111, Toilet (1. Sal):
- WC 25
- Basin 25
Rum nr. 112, Toilet (1. Sal):
- WC 25
- Basin 25
Rum nr. 209, Toilet (2. Sal):
- WC 25
- Basin 25
Rum nr. 210, Toilet (2. Sal):
- WC 25
- Basin 25
Rum nr. 211, Toilet (2. Sal):
- WC 25
- Basin 25
Rum nr. 311, Toilet (3. Sal):
- WC 25
- Basin 25
Rum nr. 310, Toilet (3. Sal):
- WC 25
- Basin 25
Rum nr. 309, Toilet (3. Sal):
- WC 25
- Basin 25
Rum nr. 411, Toilet (4. Sal):
- WC 25
- Basin 25
Rum nr. 410, Toilet (4. Sal):
- WC 25
- Basin 25
Rum nr. 409, Toilet (4. Sal):
- WC 25
- Basin 25
Rum nr. 511, Toilet (5. Sal):
- WC 25
- Basin 25
Rum nr. 510, Toilet (5. Sal):
- WC 25
- Basin 25
Rum nr. 509, Toilet (5. Sal):
- WC 25
- Basin 25</t>
  </si>
  <si>
    <t>Top five rooms with highest ceiling heights:
   1. Rum nr. S12, Auditorium (Grundplan): 6.64m
   2. Rum nr. 508.1, Skakt (5. Sal): 3.70m
   3. Rum nr. K04.1, Skakt (Kælder): 3.50m
   4. Rum nr. S07.1, Skakt (Grundplan): 3.50m
   5. Rum nr. 109.1, Skakt (1. Sal): 3.50m</t>
  </si>
  <si>
    <t>Total Walls: 189
   Wall Types by Material and Thickness:
   - _DK  Væg gips, stålskelet, 30dB/BS30/2 lag 95 mm (95mm): 60 walls (32%)
   - _DK  Væg letbeton, 100 mm (100mm): 52 walls (28%)
   - _DK  Ydervæg, tegl/Beton, 588, 108/180 (588mm): 24 walls (13%)
   - _DK  Væg beton, 150 (150mm): 23 walls (12%)
   - _DK  Væg beton, 200 mm (200mm): 14 walls (7%)
   - Beton - Insitu Udfyldning (588mm): 4 walls (2%)
   - _DK  Ydervæg, let, 488 (388mm): 4 walls (2%)
   - _DK  Væg letbeton Tag, 100 mm (100mm): 3 walls (2%)
   - Baggrund: 2 walls (1%)
   - _DK  Ydervæg, beklædning/beton, 396 (376mm): 2 walls (1%)
   - _DK  Væg gips, stålskelet, 52dB/BS60/4 lag 145 mm (145mm): 1 walls (1%)
   Structural Classification:
   - Load-Bearing: 126 walls (67%)
   - Non-Load-Bearing: 61 walls (32%)
   - Undefined: 2 walls (1%)</t>
  </si>
  <si>
    <t>Total Interior Walls: 155
   Interior Wall Types:
   - _DK  Væg gips, stålskelet, 30dB/BS30/2 lag 95 mm (95mm): 60 walls (39%)
   - _DK  Væg letbeton, 100 mm (100mm): 52 walls (34%)
   - _DK  Væg beton, 150 (150mm): 23 walls (15%)
   - _DK  Væg beton, 200 mm (200mm): 14 walls (9%)
   - _DK  Væg letbeton Tag, 100 mm (100mm): 3 walls (2%)
   - Baggrund: 2 walls (1%)
   - _DK  Væg gips, stålskelet, 52dB/BS60/4 lag 145 mm (145mm): 1 walls (1%)</t>
  </si>
  <si>
    <t>Wall Thicknesses by Type:
   Beton - Insitu Udfyldning:
   - 588mm (4 walls)
   _DK  Væg beton, 200 mm:
   - 200mm (14 walls)
   _DK  Væg letbeton, 100 mm:
   - 100mm (52 walls)
   _DK  Væg beton, 150:
   - 150mm (23 walls)
   _DK  Ydervæg, tegl/Beton, 588, 108/180:
   - 588mm (24 walls)
   _DK  Væg gips, stålskelet, 30dB/BS30/2 lag 95 mm:
   - 95mm (60 walls)
   _DK  Væg gips, stålskelet, 52dB/BS60/4 lag 145 mm:
   - 145mm (1 walls)
   _DK  Ydervæg, let, 488:
   - 388mm (4 walls)
   _DK  Væg letbeton Tag, 100 mm:
   - 100mm (3 walls)
   _DK  Ydervæg, beklædning/beton, 396:
   - 376mm (2 walls)</t>
  </si>
  <si>
    <t>Ceiling/Slab Materials (53 elements):
   - Beton - Armeret Prefab
   - Beton - Insitu Udfyldning
   - Flise - Gulv
   - GENERISK - STRUKTUREL
   - Grus
   - Isolering - Mineraluld Hård
   - Isolering - Polystyren Hård
   - Luft - Indvendig
   - Træ - Gulv</t>
  </si>
  <si>
    <t>Total Railing Elements: 2119
   Railing Types:
   - Railing Post 25: 1922 elements
   - Unknown Railing Type: 98 elements
   - Built-In Rail: 91 elements
   Railing Materials:
   - Stål - Bærende
   - Træ - Gulv</t>
  </si>
  <si>
    <t xml:space="preserve">Building Spatial Layout by Level:
Kælder:
- Rum nr. K13 (Gang): 220.5 sq m
- Rum nr. K08 (Depot): 138.6 sq m
- Rum nr. K12 (Omklædning - Herre): 23.7 sq m
- Rum nr. K09 (Omklædning - Dame): 21.9 sq m
- Rum nr. K10 (Bad - Dame): 8.7 sq m
- Rum nr. K11 (Bad - Herre): 8.7 sq m
- Rum nr. K07 (Toilet): 5.8 sq m
- Rum nr. K06 (Toilet): 4.0 sq m
- Rum nr. K04.1 (Skakt): 2.2 sq m
Level Total: 434.0 sq m
Grundplan: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Level Total: 526.3 sq m
1. Sal: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Total: 406.2 sq m
2. Sal: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Total: 512.7 sq m
3. Sal: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Total: 512.7 sq m
4. Sal: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Total: 519.6 sq m
5. Sal: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Total: 512.7 sq m
6. sal:
- Rum nr. 602.1 (Skakt): 2.2 sq m
Level Total: 2.2 sq m
</t>
  </si>
  <si>
    <t>Ground Level (Grundplan) Spatial Layout: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Ground Level Total: 526.3 sq m</t>
  </si>
  <si>
    <t>Level 1 (1. Sal) Spatial Layout: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1 Total: 406.2 sq m</t>
  </si>
  <si>
    <t>Level 2 (2. Sal) Spatial Layout: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2 Total: 512.7 sq m</t>
  </si>
  <si>
    <t>Level 3 (3. Sal) Spatial Layout: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3 Total: 512.7 sq m</t>
  </si>
  <si>
    <t>Level 4 (4. Sal) Spatial Layout: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4 Total: 519.6 sq m</t>
  </si>
  <si>
    <t>Level 5 (5. Sal) Spatial Layout: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5 Total: 512.7 sq m</t>
  </si>
  <si>
    <t>Exterior Wall Materials:
   - Beton - Armeret Bærende
   - Beton - Insitu Udfyldning
   - Gipsplade
   - Isolering - Mineraluld Blød
   - Luft - Indvendig
   - Luft - Udvendig
   - Membran
   - Mursten - Beklædning Grå
   - Træ - Beklædning</t>
  </si>
  <si>
    <t>Interior Wall Materials:
   - Beton - Armeret Bærende
   - Beton - Letbeton Bærende
   - Beton - Letbeton Bærende Tagetage
   - Gipsplade
   - Isolering - Mineraluld Blød</t>
  </si>
  <si>
    <t>Total Furniture: 45 pieces
Furniture Types:
- Base Cabinet Block 25: 30 pieces
- Wardrobe Modular 25: 6 pieces
- Dishwasher Built-in 25: 5 pieces
- Reception: 1 pieces
- Cooktop + Oven Built-in 25: 1 pieces
- Cabinet Base Double Door 21: 1 pieces
- Refrigerator 25: 1 pieces
Furniture Distribution by Space:
Rum nr. K08, Depot (Kælder): 6 pieces
- Wardrobe Modular 25 (6 items)
Rum nr. S02, Reception (Grundplan): 1 pieces
- Reception
Rum nr. S06, Køkken (Grundplan): 8 pieces
- Base Cabinet Block 25 (5 items)
- Cooktop + Oven Built-in 25
- Cabinet Base Double Door 21
- Refrigerator 25
Rum nr. 103, Tekøkken (1. Sal): 6 pieces
- Base Cabinet Block 25 (5 items)
- Dishwasher Built-in 25
Rum nr. 203, Tekøkken (2. Sal): 6 pieces
- Base Cabinet Block 25 (5 items)
- Dishwasher Built-in 25
Rum nr. 303, Tekøkken (3. Sal): 6 pieces
- Base Cabinet Block 25 (5 items)
- Dishwasher Built-in 25
Rum nr. 403, Tekøkken (4. Sal): 6 pieces
- Base Cabinet Block 25 (5 items)
- Dishwasher Built-in 25
Rum nr. 503, Tekøkken (5. Sal): 6 pieces
- Base Cabinet Block 25 (5 items)
- Dishwasher Built-in 25</t>
  </si>
  <si>
    <t>Total Slab Volume: 1418.48 cu m
   Slab Volume by Type:
   - _DK  Dæk terræn, grus/iso/trægulv  510 mm: 236.59 cu m (16.7%)
   - _DK  Dæk terræn, grus/iso/afret 510 mm: 40.06 cu m (2.8%)
   - GENERISK - STRUKTUREL: 19.78 cu m (1.4%)
   - _DK  Dæk beton/iso/afret/flise, 356: 30.52 cu m (2.2%)
   - _DK  Dæk beton/strøer/træ, 356: 1038.10 cu m (73.2%)
   - _DK Tag fladt beton flise: 53.43 cu m (3.8%)</t>
  </si>
  <si>
    <t>Space Utilization by Function:
- Gang: 7 spaces, 1324.9 sq m (38.6%)
- Kontor: 32 spaces, 901.1 sq m (26.3%)
- Møderum: 4 spaces, 270.0 sq m (7.9%)
- Depot: 6 spaces, 209.5 sq m (6.1%)
- Auditorium: 2 spaces, 138.6 sq m (4.0%)
- Lounge: 5 spaces, 138.3 sq m (4.0%)
- Toilet: 21 spaces, 97.0 sq m (2.8%)
- Udstillingsrum: 1 spaces, 72.5 sq m (2.1%)
- Møde: 3 spaces, 68.6 sq m (2.0%)
- Kantine: 1 spaces, 39.4 sq m (1.1%)
- Omklædning - Herre: 1 spaces, 23.7 sq m (0.7%)
- Tekøkken: 5 spaces, 22.4 sq m (0.7%)
- Omklædning - Dame: 1 spaces, 21.9 sq m (0.6%)
- Køkken: 1 spaces, 19.5 sq m (0.6%)
- Venterum: 1 spaces, 19.5 sq m (0.6%)
- Skakt: 8 spaces, 17.6 sq m (0.5%)
- Reception: 1 spaces, 12.5 sq m (0.4%)
- Printer: 1 spaces, 9.3 sq m (0.3%)
- Bad - Dame: 1 spaces, 8.7 sq m (0.3%)
- Bad - Herre: 1 spaces, 8.7 sq m (0.3%)
- Elevator: 1 spaces, 6.9 sq m (0.2%)</t>
  </si>
  <si>
    <t>EXTERIOR WALLS:
• Basic Wall:Exterior - Brick on CMU (8 walls)
  Material Composition:
    1. Masonry - Brick (0.09 m)
    2. Misc. Air Layers - Air Space (0.08 m)
    3. Insulation / Thermal Barriers - Rigid insulation (0.08 m)
    4. Masonry - Concrete Masonry Units (0.19 m)
    5. Metal - Furring (0.04 m)
    6. Gypsum Wall Board (0.02 m)
• Basic Wall:Foundation - 12" Concrete (4 walls)
  Material Composition:
    1. Concrete - Cast-in-Place Concrete (0.30 m)
• Basic Wall:Generic - 12" (2 walls)
  Material Composition:
    1. Default Wall (0.30 m)
• Basic Wall:Generic - 6" (19 walls)
  Material Composition:
    1. Default Wall (0.15 m)
INTERIOR WALLS:
• Basic Wall:Interior - 3 1/8" Partition (1-hr) (10 walls)
  Material Composition:
    1. Gypsum Wall Board (0.01 m)
    2. Gypsum Wall Board (0.01 m)
    3. Metal - Stud Layer (0.04 m)
    4. Gypsum Wall Board (0.01 m)
    5. Gypsum Wall Board (0.01 m)</t>
  </si>
  <si>
    <t>EXTERIOR WALLS:
• Basic Wall:Exterior - Brick on CMU (8 walls)
  Material Composition:
    1. Masonry - Brick (0.09 m)
    2. Misc. Air Layers - Air Space (0.08 m)
    3. Insulation / Thermal Barriers - Rigid insulation (0.08 m)
    4. Masonry - Concrete Masonry Units (0.19 m)
    5. Metal - Furring (0.04 m)
    6. Gypsum Wall Board (0.02 m)
• Basic Wall:Foundation - 12" Concrete (4 walls)
  Material Composition:
    1. Concrete - Cast-in-Place Concrete (0.30 m)
• Basic Wall:Generic - 12" (2 walls)
  Material Composition:
    1. Default Wall (0.30 m)
• Basic Wall:Generic - 6" (19 walls)
  Material Composition:
    1. Default Wall (0.15 m)</t>
  </si>
  <si>
    <t>INTERIOR WALLS:
• Basic Wall:Interior - 3 1/8" Partition (1-hr) (10 walls)
  Material Composition:
    1. Gypsum Wall Board (0.01 m)
    2. Gypsum Wall Board (0.01 m)
    3. Metal - Stud Layer (0.04 m)
    4. Gypsum Wall Board (0.01 m)
    5. Gypsum Wall Board (0.01 m)</t>
  </si>
  <si>
    <t>Total Doors: 119
   Door Types:
   - Door 25: 99 doors (83%)
     • 0.91m Öó 2.10m: 86 doors
     • 1.01m Öó 2.10m: 13 doors
   - Double Door 25: 10 doors (8%)
     • 1.81m Öó 2.10m: 10 doors
   - Exterior Double Sliding Door 25: 8 doors (7%)
     • 1.01m Öó 2.10m: 8 doors
   - Revolving Door 25: 1 doors (1%)
     • 2.96m Öó 2.40m: 1 doors
   - Pocket Door 25: 1 doors (1%)
     • 1.01m Öó 2.10m: 1 doors</t>
  </si>
  <si>
    <t>Total Windows: 119
   Window Types:
   - Double Window 25: 63 windows (53%)
     • 1.78m Öó 2.98m: 7 windows
     • 1.78m Öó 2.96m: 2 windows
     • 1.78m Öó 1.45m: 54 windows
   - Window 25: 56 windows (47%)
     • 3.94m Öó 0.58m: 1 windows
     • 1.00m Öó 3.10m: 1 windows
     • 1.00m Öó 4.50m: 1 windows
     • 1.78m Öó 1.45m: 35 windows
     • 1.78m Öó 2.98m: 1 windows
     • 0.48m Öó 2.37m: 2 windows
     • 1.77m Öó 1.45m: 10 windows
     • 1.00m Öó 5.17m: 2 windows
     • 1.00m Öó 3.77m: 1 windows
     • 1.77m Öó 2.98m: 2 windows</t>
  </si>
  <si>
    <t>Wall Material Compositions:
   Beton - Insitu Udfyldning:
   - Beton - Insitu Udfyldning
   _DK  Væg beton, 200 mm:
   - Beton - Armeret Bærende
   _DK  Væg letbeton, 100 mm:
   - Beton - Letbeton Bærende
   _DK  Væg beton, 150:
   - Beton - Armeret Bærende
   Baggrund:
   - Baggrund
   _DK  Ydervæg, tegl/Beton, 588, 108/180:
   - Mursten - Beklædning Grå
   - Isolering - Mineraluld Blød
   - Beton - Armeret Bærende
   _DK  Væg gips, stålskelet, 30dB/BS30/2 lag 95 mm:
   - Gipsplade
   - Isolering - Mineraluld Blød
   - Gipsplade
   _DK  Væg gips, stålskelet, 52dB/BS60/4 lag 145 mm:
   - Gipsplade
   - Gipsplade
   - Isolering - Mineraluld Blød
   - Gipsplade
   - Gipsplade
   _DK  Ydervæg, let, 488:
   - Træ - Beklædning
   - Luft - Udvendig
   - Membran
   - Isolering - Mineraluld Blød
   - Isolering - Mineraluld Blød
   - Gipsplade
   _DK  Væg letbeton Tag, 100 mm:
   - Beton - Letbeton Bærende Tagetage
   _DK  Ydervæg, beklædning/beton, 396:
   - Træ - Beklædning
   - Luft - Indvendig
   - Membran
   - Isolering - Mineraluld Blød
   - Beton - Armeret Bærende
   Unique Materials Used: 12 different materials
   • Baggrund
   • Beton - Armeret Bærende
   • Beton - Insitu Udfyldning
   • Beton - Letbeton Bærende
   • Beton - Letbeton Bærende Tagetage
   • Gipsplade
   • Isolering - Mineraluld Blød
   • Luft - Indvendig
   • Luft - Udvendig
   • Membran
   • Mursten - Beklædning Grå
   • Træ - Beklædning</t>
  </si>
  <si>
    <t>Structural Elements Present: 25 total elements
   - Beams: 7 elements
     • Material: GENERISK - STRUKTUREL
   - Columns: 14 elements
     • Material: GENERISK - STRUKTUREL
   - Footings: 4 elements
     • Material: Beton - Insitu Udfyldning
   Primary Structural Materials:
   - Beton - Insitu Udfyldning
   - GENERISK - STRUKTUREL</t>
  </si>
  <si>
    <t>Total Beams: 7
   Beam Types:
   - GENERISK - STRUKTUREL: 7 beams
     • Kælder: 1 beams
     • Grundplan: 1 beams
     • 1. Sal: 1 beams
     • 2. Sal: 1 beams
     • 3. Sal: 1 beams
     • 4. Sal: 1 beams
     • 5. Sal: 1 beams</t>
  </si>
  <si>
    <t>Total Columns: 14
   Column Types:
   - GENERISK - STRUKTUREL: 14 columns
     • Kælder: 2 columns
     • Grundplan: 2 columns
     • 1. Sal: 2 columns
     • 2. Sal: 2 columns
     • 3. Sal: 2 columns
     • 4. Sal: 2 columns
     • 5. Sal: 2 columns</t>
  </si>
  <si>
    <t>Column Dimensions:
   - GENERISK - STRUKTUREL: 14 columns
     • 0.30m Öó 0.30m</t>
  </si>
  <si>
    <t>Total Slabs: 53
   Slab Types and Thicknesses:
   - _DK  Dæk terræn, grus/iso/trægulv  510 mm:
     • 510mm thick: 1 slabs
   - _DK  Dæk terræn, grus/iso/afret 510 mm:
     • 510mm thick: 2 slabs
   - GENERISK - STRUKTUREL:
     • 50mm thick: 37 slabs
   - _DK  Dæk beton/iso/afret/flise, 356:
     • 356mm thick: 6 slabs
   - _DK  Dæk beton/strøer/træ, 356:
     • 356mm thick: 6 slabs
   - _DK Tag fladt beton flise:
     • 540mm thick: 1 slabs</t>
  </si>
  <si>
    <t>Total Roof Elements: 2
- _DK Tag fladt beton
     • Membran - Vandtæt
     • Isolering - Polystyren Hård
     • Beton - Armeret Prefab
- _DK Tag fladt built-up
     • Membran - Vandtæt
     • Krydsfiner
     • Luft - Udvendig
     • Isolering - Mineraluld Hård
     • Isolering - Mineraluld Hård
     • Membran - Dampspærre
     • Krydsfiner
     • Gipsplade</t>
  </si>
  <si>
    <t>Total MEP Elements: 90
   MEP Systems Identified:
   - Sanitary/Plumbing: 84 components
     • WC 25: 42
     • Basin 25: 42
   - Kitchen Equipment: 6 components
     • Dishwasher Built-in 25: 5
     • Refrigerator 25: 1</t>
  </si>
  <si>
    <t>Total Slabs: 279
   Slab Types and Thicknesses:
   dak dakkapel: 8 slabs
     • 173mm: 7 slabs
     • 140mm: 1 slabs
   dakaftimmering: 2 slabs
     • 18mm: 2 slabs
   dakelement: 2 slabs
     • 18mm: 1 slabs
   dakisolatie: 4 slabs
     • 110mm: 3 slabs
     • 206mm: 1 slabs
   dakvloer: 9 slabs
     • 60mm: 8 slabs
     • 220mm: 1 slabs
   dekvloer: 78 slabs
     • 90mm: 78 slabs
   gootconstructie: 12 slabs
     • 100mm: 12 slabs
   liftputvloer: 1 slabs
     • 300mm: 1 slabs
   lifttop: 1 slabs
     • 200mm: 1 slabs
   plafond: 4 slabs
     • 110mm: 2 slabs
     • 50mm: 2 slabs
   plat dak: 6 slabs
     • 171mm: 6 slabs
   prefab balkon: 3 slabs
   - Thickness data not available
   schoonloopmat: 1 slabs
     • 8mm: 1 slabs
   sporenkap: 44 slabs
     • 206mm: 20 slabs
     • 195mm: 17 slabs
     • 131mm: 4 slabs
     • 100mm: 3 slabs
   spouwisolatie: 2 slabs
     • 190mm: 2 slabs
   vloer_V0: 51 slabs
     • 333mm: 46 slabs
     • 335mm: 5 slabs
   vloerstort V0: 1 slabs
     • 345mm: 1 slabs
   vloertegels: 1 slabs
     • 10mm: 1 slabs
   vloerveld: 49 slabs
     • 60mm: 44 slabs
     • 290mm: 3 slabs
     • 200mm: 2 slabs</t>
  </si>
  <si>
    <t>Building Information:
   - Project Name: Projekt-FZK-Haus
   - Project Description: Projekt FZK-House create by KHH Forschuungszentrum Karlsruhe
   - Building Name: FZK-Haus
   - Site/Location: Gelaende
   - Latitude: 49°6'1"0.566
   - Longitude: 8°26'11"0.5404
   Building Type Analysis:
   - Residential building
   - 2-level structure
   - German attribute names
   - BIM modeling with ARCHICAD authoring</t>
  </si>
  <si>
    <t>Building Information:
   - Project Name: Molio Demo-hus
   - Latitude: 55°40'3"0.2664
   - Longitude: 12°37'9"0.7788</t>
  </si>
  <si>
    <t>Total Walls: 48
   Wall Types and Quantities:
   - Basic Wall:Interior - Partition: 15 walls (31.2%) - 120mm
     Materials (3 layers):
       1. Finishes - Interior - Gypsum Wall Board - 10mm
       2. Wood - Stud Layer - 100mm
       3. Finishes - Interior - Gypsum Wall Board - 10mm
   - Basic Wall:Retaining - 300mm Concrete: 10 walls (20.8%) - 300mm
     Materials (1 layers):
       1. Concrete - Cast In Situ - 300mm
   - Basic Wall:Wall - Timber Clad: 7 walls (14.6%)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6 walls (12.5%)
     Materials (1 layers):
       1. CL Concrete_ panels
   - Basic Wall:SIP 202mm Wall - conc clad: 4 walls (8.3%)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3 walls (6.2%) - 165mm
     Materials (3 layers):
       1. Finishes - Interior - Gypsum Wall Board - 13mm
       2. Wood - Stud Layer - 140mm
       3. Finishes - Interior - Gypsum Wall Board - 13mm
   - Basic Wall:Cavity wall_sliders: 2 walls (4.2%) - 280mm
   - Basic Wall:Foundation - 300mm Concrete: 1 wall (2.1%) - 300mm</t>
  </si>
  <si>
    <t>Total Interior Walls: 18
   Interior Wall Types:
   - Basic Wall:Interior - Partition: 15 walls - 120mm
     Materials (3 layers):
       1. Finishes - Interior - Gypsum Wall Board - 10mm
       2. Wood - Stud Layer - 100mm
       3. Finishes - Interior - Gypsum Wall Board - 10mm
   - Basic Wall:Interior - 165 Partition (1-hr): 3 walls - 165mm
     Materials (3 layers):
       1. Finishes - Interior - Gypsum Wall Board - 13mm
       2. Wood - Stud Layer - 140mm
       3. Finishes - Interior - Gypsum Wall Board - 13mm</t>
  </si>
  <si>
    <t>Total Exterior Walls: 30
   Exterior Wall Types:
   - Basic Wall:Retaining - 300mm Concrete: 10 walls (20.8%) - 300mm
     Materials (1 layers):
       1. Concrete - Cast In Situ - 300mm
   - Basic Wall:Wall - Timber Clad: 7 walls (14.6%)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6 walls (12.5%)
     Materials (1 layers):
       1. CL Concrete_ panels
   - Basic Wall:SIP 202mm Wall - conc clad: 4 walls (8.3%)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Wall:Cavity wall_sliders: 2 walls (4.2%) - 280mm
   - Basic Wall:Foundation - 300mm Concrete: 1 wall (2.1%) - 300mm</t>
  </si>
  <si>
    <t>Wall Thicknesses by Type:
   - Basic Wall:SIP 202mm Wall - conc clad: 202 mm (4 walls)
   - Basic Wall:Wall - Timber Clad: 202 mm (7 walls)
   - Basic Wall:Cavity wall_sliders: 280 mm (2 walls)
   - Basic Wall:Interior - 165 Partition (1-hr): 165 mm (3 walls)
   - Basic Wall:Interior - Partition: 120 mm (15 walls)
   - Basic Wall:Foundation - 300mm Concrete: 300 mm (1 wall)
   - Basic Wall:Retaining - 300mm Concrete: 300 mm (10 walls)
   Thickness Statistics:
   - Total walls with thickness data: 42
   - Thickness range: 120 - 300 mm</t>
  </si>
  <si>
    <t>Load-Bearing Wall Analysis:
   - Total walls: 48
   - Walls with load-bearing classification: 11
   Load-Bearing Classification:
   - Load-bearing walls: 11 (11.8%)
   - Non-load-bearing walls: 0 (48.6%)
   - Unspecified walls: 37 (39.5%)
   Load-Bearing Wall Types:
   - Basic Wall:Retaining - 300mm Concrete
   - Basic Wall:CL_W1
   - Basic Wall:Foundation - 300mm Concrete</t>
  </si>
  <si>
    <t>Total Furniture Elements: 35
   - IfcFurnishingElement: 35
   - IfcFurniture: 32
   Furniture Types (grouped):
   - Dining Chair (3): 8 item(s)
   - Sofa - Ottoman: 7 item(s)
   - Bar Chair: 6 item(s)
   - Seating - Artemis - Lounge chair: 2 item(s)
   - Side Table 2 (2): 2 item(s)
   - Table-Dining 01 (M): 2 item(s)
   - 4500_Kitchen Island_DW: 1 item(s)
   - 4500_Kitchen Island: 1 item(s)
   - Seat - Single with Island: 1 item(s)
   - Cabinet 1: 1 item(s)
   - M_TV - Flat Screen: 1 item(s)
   - wardrobe1: 1 item(s)
   - wardrobe2: 1 item(s)
   - hood enclosure: 1 item(s)
   Furniture Categories:
   - Seating: 17 items (48.6%)
   - Soft Seating: 7 items (20.0%)
   - Tables &amp; Desks: 4 items (11.4%)
   - Storage: 3 items (8.6%)
   - Kitchen Furniture: 2 items (5.7%)
   - Electronics: 1 items (2.9%)
   - Other Furniture: 1 items (2.9%)</t>
  </si>
  <si>
    <t>Laundry Spaces found:
   - 104: Laundry 
   Laundry Appliances Available:
   - Miele Tumble Dryer T 7944 C:Miele Tumble Dryer T 7944 C:677695
   - Miele Washing Machine W 5820 WPS:Miele Washing Machine W 5820 WPS:674370</t>
  </si>
  <si>
    <t>Kitchen Spaces on Level 1:
   - 101: Kitchen &amp; Dining
   Kitchen Furniture Available:
   - Bar Chair: 6 item(s)
   - 4500_Kitchen Island_DW: 1 item(s)
   - 4500_Kitchen Island: 1 item(s)
   - Seat - Single with Island: 1 item(s)
   Kitchen Appliances Available:
   - Miele Built-in Microwave M 8260-2:Miele Microwave M 8260-2:696998
   - Miele Built-in Rangehood DA 2210:Rangehood DA-2210:679009
   - Miele Built-under Dishwasher G 4101 U CS:Miele Built-under Dishwasher G 4101 U CS:694796
   - Miele Induction Cooktop KM 6350 LPT:Miele Induction Cooktop 6350 LPT:680539
   - Miele MasterCool KF 1911 Vi:Miele Fridge/Freezer KF 1911 Vi:684791
   - Miele Oven H 5681 BP:Miele Oven H 5681 BP:686184</t>
  </si>
  <si>
    <t>Total MEP Components: 2290
   Components by System Type:
   - Plumbing and Drainage: 1503 components
     * Pipe segments: 818 (10 different types)
     * Pipe fittings: 644 (including bends, tees, transitions)
     * Sanitary terminals: 30 (3 fixture categories)
     * Control valves: 4
     * Monitoring sensors: 7
   - Underfloor Heating System: 12 components
     * HcsFlexPipeInPipe segments: 12
   - Electrical Power: 191 components
     * Distribution boards: 3
     * Light fixtures: 69
     * Power outlets: 48
     * Protective devices: 22
     * Cable management: 27 segments, 21 fittings
   - Solar Power Generation: 80 components
     * Solar panels: 40
     * Mounting systems: 40
   - Ventilation: 468 components
     * Rigid duct segments: 207
     * Flexible circular ducts: 59 segments
     * Duct fittings: 155
     * Air terminals: 43
   - Central Heating: 33 components
     * Space heaters: 30
     * Boiler systems: 3</t>
  </si>
  <si>
    <t>Pipe Types Used in Building (818 total segments):
   Standard Plumbing Pipes:
   - SS091209003: 514 segments (62.8%)
   - SS091209006: 66 segments (8.1%)
   - SS091209005: 47 segments (5.7%)
   - SS091209004: 47 segments (5.7%)
   Drainage and Sewer Pipes:
   - HT12/0619 (DN 100): 64 segments (7.8%)
   - HT12/0319: 31 segments (3.8%)
   Specialty Distribution:
   - SS091209007: 25 segments (3.1%)
   - SS091209009: 12 segments (1.5%)
   - SS091209013: 8 segments (1.0%)
   - SS091209008: 4 segments (0.5%)
   Total Pipe Length: 842.64 m
   Average Segment Length: 1.03 m</t>
  </si>
  <si>
    <t>What underfloor heating system is installed?</t>
  </si>
  <si>
    <t>Underfloor Heating System Installation:
   - HcsFlexPipeInPipe System: 12 segments
   Characteristics:
   - 17mm outer diameter with 2mm wall thickness</t>
  </si>
  <si>
    <t>Pipe Fitting Types (644 total fittings):
   Primary Fitting Categories:
   - Bends: 78 fittings (12.1%)
   - Tees: 20 fittings (3.1%)
   - Transitions: 6 fittings (0.9%)
   Specialized Fittings:
   - Water meters: 1 fitting
   - Complex specialty fittings: 539 units
   Distribution by Building Level:
   - 00. Begane grond: 347 fittings (53.9%)
   - 01. verdieping: 210 fittings (32.6%)
   - 02. verdieping: 79 fittings (12.3%)
   - Foundation/Roof: 8 fittings (1.2%)</t>
  </si>
  <si>
    <t>Sanitary Terminal Installation (30 total terminals):
   Terminal Categories:
   - Concealed Cistern/Frame/Accessory: 10 units (33.3%)
   - Toilet/Urinal: 10 units (33.3%)
   - Basin/Sink/Bidet: 10 units (33.3%)
   Spatial Distribution:
   - 00. Begane grond (Ground Floor): 15 terminals (50%)
   - 01. verdieping (First Floor): 15 terminals (50%)</t>
  </si>
  <si>
    <t>What ventilation system components are installed?</t>
  </si>
  <si>
    <t>Ventilation System Components:
   Ductwork Distribution:
   - Rigid Duct Segments: 207
   - Flexible Circular Ducts: 59 segments
     * Flexible Circular Duct DIN 24146 d 160
     * 160mm diameter flexible connections
   - Duct Fittings: 155
   Air Distribution Terminals:
   - Air Terminals: 43
     * Supply and return air points
   - Flow Control Dampers: 4
   Total Ventilation Components: 468</t>
  </si>
  <si>
    <t>What electrical distribution systems are installed?</t>
  </si>
  <si>
    <t>Electrical Distribution Infrastructure:
   Power Distribution:
   - Distribution Boards: 3
     * MB01: Main Distribution Board 1
     * Data board 1: IT/Communication systems
     * SB 02: Sub Distribution Board 02
   - Protective Devices: 22
     * Circuit breakers and protection
     * Overcurrent protection systems
   - Switching Devices: 1
   Power Distribution Network:
   - Power Outlets: 48
   - Cable Management System: 27 segments
     * Cable carrier ladder systems
   - Cable Fittings: 21
   Lighting Systems:
   - Light Fixtures: 69
   Total Electrical Components: 190</t>
  </si>
  <si>
    <t>What solar power generation system is installed?</t>
  </si>
  <si>
    <t>Solar Power Generation Installation:
   Solar Panel Array:
   - Solar Devices: 40 panels
     * FastPlanning (FP) solar panel technology
   Mounting Infrastructure:
   - Solar Mounting Systems: 40 units</t>
  </si>
  <si>
    <t>Total Plumbing Pipe Length: 842.64 m
    Pipe Length Distribution by Building Level:
    - -01. Fundering: 31.14 m (3.7%)
    - 00. Begane grond: 355.38 m (42.2%)
    - 01. verdieping: 238.80 m (28.3%)
    - 02. verdieping: 209.74 m (24.9%)
    - 03. Dak: 7.58 m (0.9%)
    Piping System Analysis:
    - Total pipe segments: 818
    - Average segment length: 1.03 m
    - Primary distribution: Ground floor (42.2% of total)</t>
  </si>
  <si>
    <t>What cable management systems are installed?</t>
  </si>
  <si>
    <t>Cable Management Infrastructure:
    Cable Carrier System:
    - Cable Carrier Segments: 27
      * Ladder-type cable carriers (26 segments)
    - Cable Carrier Fittings: 21
    Integration with Electrical Systems:
    - Supports 69 lighting circuits
    - Services 48 power outlets
    - Connection to 3 distribution boards
    Total Cable Management Components: 48</t>
  </si>
  <si>
    <t>Specialized Flow Segment Systems:
    Ventilation Flow Segments:
    - GT-20130816-001: 68 segments
    - SS8305160: 59 segments
      * Flexible Circular Duct DIN 24146 d 160
    - SS8310125: 43 segments
    Cable and Infrastructure:
    - QL-030916-003: 26 segments (Ladder systems)
    Floor Heating System:
    - SS-261113163908: 12 segments
      * HcsFlexPipeInPipe technology
      * PE-Xa pipe underfloor heating
    Additional Specialized Systems:
    - SS8310250: 16 segments
    - SS8310315: 10 segments
    - SS8310160: 8 segments
    - SS8310140: 6 segments
    - SS8310200: 2 segments
    Total Flow Segments: 1075
    System Diversity: 20 different flow segment types
    Specialized Applications: Heating, ventilation, electrical support</t>
  </si>
  <si>
    <t>What heating and cooling systems are present?</t>
  </si>
  <si>
    <t>Heating and Cooling Systems Installation:
    Central Heating System:
    - Space Heaters: 30 units
      * Radiators and heating devices
      * Individual zone climate control
    - Boiler Systems: 3 units
      * Central heat generation
      * Building heating distribution
    Underfloor Heating System:
    - HcsFlexPipeInPipe: 12 heating circuits
      * PE-Xa pipe radiant heating
    Climate Control Integration:
    - Temperature monitoring: 7 sensors
    - Flow control: 4 control valves
    Heating Distribution Strategy:
    - Dual heating approach: radiative and convective
    - Zone-based temperature control
    - Integration with renewable energy (solar)
    Total Heating Components: 45</t>
  </si>
  <si>
    <t>What MEP systems serve the ground floor specifically?</t>
  </si>
  <si>
    <t>Ground Floor (00. Begane grond) MEP Systems:
    Plumbing Systems:
    - Pipe network: 355.38m (42.2% of total building)
    - Pipe fittings: 347 units (53.9% of all fittings)
    - Sanitary terminals: 15 units (50% of building total)
    Electrical Systems:
    - Light fixtures: 37 units (53.6% of building total)
    - Power outlets: 24 units (50% of building total)
    - Main distribution boards: 3 units
    Ventilation Systems:
    - Air terminals: 34 units (majority of building total)
    Space Conditioning:
    - Space heaters: 20 units</t>
  </si>
  <si>
    <t>What types of bends and elbows are used in the piping system?</t>
  </si>
  <si>
    <t>Piping Bend and Elbow Analysis:
    Primary Bend Types:
    - Standard Bends: 78 units (12.1% of all fittings)
      * 90-degree direction changes
      * Various radius configurations
    Distribution by Piping System:
    - Water supply bends: Majority for SS091209003 pipes
    - Drainage system bends: HT12/0619 sewer pipe routing
    Installation Strategy:
    - Ground floor: 53.9% of bend installations
    - First floor: 32.6% of bend installations
    Bend-to-Pipe Ratio: 0.095 bends per pipe segment</t>
  </si>
  <si>
    <t>What flexible circular duct system is installed?</t>
  </si>
  <si>
    <t>Flexible Circular Duct System:
    System Specifications:
    - Duct Type: Flexible Circular Duct DIN 24146 d 160
    - Segment Count: 59 segments
    - Diameter: 160mm (6.3 inches)
    - Standard: DIN 24146 compliance
    - Services 43 air terminals
    - Part of comprehensive ventilation system</t>
  </si>
  <si>
    <t>What MEP systems are installed on the foundation level?</t>
  </si>
  <si>
    <t>Foundation Level (-01. Fundering) MEP Systems:
    Plumbing Infrastructure:
    - Pipe network: 31.14m (3.7% of total)
    - Pipe fittings: 4 units</t>
  </si>
  <si>
    <t>What valve types and control systems are installed?</t>
  </si>
  <si>
    <t>Valve and Control System Installation:
    Valve Distribution:
    - Control Valves: 4 units
    - Standard valve installations: 2 units
    - Specialized control valves: 2 units</t>
  </si>
  <si>
    <t>What specialty equipment manifolds are installed?</t>
  </si>
  <si>
    <t xml:space="preserve">Specialty Equipment Manifold Systems:
    Distribution Chamber Equipment:
    - Manifolds: 1 unit
    - Type: DIH51-06d distribution manifold
    - Function: Multi-zone distribution control
    - Connection to 12 HcsFlexPipeInPipe circuits
</t>
  </si>
  <si>
    <t>What unitary equipment systems are installed?</t>
  </si>
  <si>
    <t>Unitary Equipment Installation:
    Specialized Equipment:
    - Unitary Equipment Units: 2
    - AH-20111213-041: Ventilation equipment
    - AH-240913151652: Plumbing equipment</t>
  </si>
  <si>
    <t>What building element proxy systems are used for MEP support?</t>
  </si>
  <si>
    <t>Building Element Proxy MEP Support Systems:
    Solar System Support:
    - SolarMountingSystems: 40 units
    - Other Proxy Elements: 9 units
      * Specialized MEP support structures
      * Custom installation hardware</t>
  </si>
  <si>
    <t>MEP system summery:
    Water Distribution Capacity:
    - Piping network: 842.64m total length
    - Service terminals: 30 fixtures
    - Distribution efficiency: 0.8 fittings per segment
    - Primary distribution: SS091209003 system (514 segments)
    Heating System Capacity:
    - Central heating: 30 space heaters + 3 boilers
    - Underfloor heating: 12 zones (HcsFlexPipeInPipe)
    Electrical System Capacity:
    - Distribution infrastructure: 3 boards
    - Solar generation: 40 panels
    - Power distribution: 48 outlets, 69 fixtures
    - Cable management: 27 segments
    Ventilation System Capacity:
    - Ductwork distribution: 207 rigid + 59 flexible
    - Air terminals: 43 units</t>
  </si>
  <si>
    <t>MEP Systems Present:
   - Plumbing and Drainage System
     * Water supply distribution network
     * Wastewater collection (HT sewer pipes)
     * Sanitary fixtures and terminals
   - Underfloor Heating System
     * HcsFlexPipeInPipe technology
     * PE-Xa pipe distribution network
     * Integrated floor heating zones
   - Electrical Power and Distribution
     * Main and sub-distribution infrastructure
     * Comprehensive lighting systems
     * Power outlets and circuit protection
   - Solar Power Generation
     * Rooftop solar panel installation
     * Solar mounting and support systems
   - Ventilation System
     * Supply and exhaust ductwork
     * Flexible circular duct distribution
     * Air terminals and flow control
   - Central Heating
     * Space heating equipment
     * Boiler systems and controls
   Total MEP Components: 2916</t>
  </si>
  <si>
    <t>Total Walls: 880
   Wall Types found:
   - IFC_baksteen_roodbruin_100mm_liggend: 200 walls (22.7%)
   - IFC_baksteen_roodbruin_100mm_staand: 98 walls (11.1%)
   - IFC_kalkzandsteen_214mm: 86 walls (9.8%)
   - IFC_separatiewand_gasbeton_100mm: 84 walls (9.5%)
   - IFC_separatiewand_gasbeton_70mm: 72 walls (8.2%)
   - IFC_kalkzandsteen_100mm: 53 walls (6.0%)
   - IFC_baksteen_kopergeel_100mm_staand: 39 walls (4.4%)
   - IFC_HSB_155_wandelement_Rc=3,67: 36 walls (4.1%)
   - IFC_knieschot_ongeisoleerd: 32 walls (3.6%)
   - IFC_baksteen_kopergeel_100mm_liggend: 30 walls (3.4%)
   - IFC_dakkapel_zijwang: 24 walls (2.7%)
   - IFC_separatiewand_gasbeton_100mm_hydro: 24 walls (2.7%)
   - IFC_kalkzandsteen_300mm: 22 walls (2.5%)
   - IFC_HSB_155_wandelement_ongeisoleerd_multiplex: 22 walls (2.5%)
   - IFC_kalkzandsteen_175mm: 12 walls (1.4%)
   - IFC_knieschot_geisoleerd_Rc=4,00: 11 walls (1.2%)
   - IFC_kalkzandsteen_120mm: 9 walls (1.0%)
   - IFC_HSB_70mm: 7 walls (0.8%)
   - IFC_cellenbeton_100mm: 6 walls (0.7%)
   - IFC_isolatie_74mm_PIR: 4 walls (0.5%)
   - IFC_gipsblokken_70mm: 3 walls (0.3%)
   - IFC_kozijn_90x114: 2 walls (0.2%)
   - 99 Isolatie - Glaswol 190mm: 1 walls (0.1%)
   - IFC_separatiewand_gasbeton_70mm_hydro: 1 walls (0.1%)</t>
  </si>
  <si>
    <t>Total Exterior Walls: 594
   Exterior Wall Types:
   - IFC_baksteen_roodbruin_100mm_liggend: 200 walls (33.7%)
   - IFC_baksteen_roodbruin_100mm_staand: 98 walls (16.5%)
   - IFC_kalkzandsteen_214mm: 55 walls (9.3%)
   - IFC_kalkzandsteen_100mm: 52 walls (8.8%)
   - IFC_baksteen_kopergeel_100mm_staand: 39 walls (6.6%)
   - IFC_HSB_155_wandelement_Rc=3,67: 36 walls (6.1%)
   - IFC_baksteen_kopergeel_100mm_liggend: 30 walls (5.1%)
   - IFC_dakkapel_zijwang: 24 walls (4.0%)
   - IFC_HSB_155_wandelement_ongeisoleerd_multiplex: 22 walls (3.7%)
   - IFC_kalkzandsteen_175mm: 12 walls (2.0%)
   - IFC_knieschot_geisoleerd_Rc=4,00: 11 walls (1.9%)
   - IFC_cellenbeton_100mm: 6 walls (1.0%)
   - IFC_isolatie_74mm_PIR: 4 walls (0.7%)
   - IFC_kozijn_90x114: 2 walls (0.3%)
   - 99 Isolatie - Glaswol 190mm: 1 walls (0.2%)</t>
  </si>
  <si>
    <t>Total Interior Walls: 286
   Interior Wall Types:
   - IFC_separatiewand_gasbeton_100mm: 84 walls (29.4%)
   - IFC_separatiewand_gasbeton_70mm: 72 walls (25.2%)
   - IFC_knieschot_ongeisoleerd: 32 walls (11.2%)
   - IFC_kalkzandsteen_214mm: 31 walls (10.8%)
   - IFC_separatiewand_gasbeton_100mm_hydro: 24 walls (8.4%)
   - IFC_kalkzandsteen_300mm: 22 walls (7.7%)
   - IFC_kalkzandsteen_120mm: 9 walls (3.1%)
   - IFC_HSB_70mm: 7 walls (2.4%)
   - IFC_gipsblokken_70mm: 3 walls (1.0%)
   - IFC_kalkzandsteen_100mm: 1 walls (0.3%)
   - IFC_separatiewand_gasbeton_70mm_hydro: 1 walls (0.3%)</t>
  </si>
  <si>
    <t>Wall Materials by Wall Type:
   HSB-element:
   - IFC_HSB_155_wandelement_Rc=3,67
   - IFC_HSB_155_wandelement_ongeisoleerd_multiplex
   balkonopstand
   - Brick
   binnenblad
   - Sandstone
   binnenwand
   - Sandstone
   binnenwanden
   - Concrete
   buitenblad
   - Brick
   - Concrete
   dakisolatie
   - Insulation
   knieschot
   - IFC_knieschot_ongeisoleerd
   - IFC_knieschot_geisoleerd_Rc=4,00
   kozijn
   - IFC_kozijn_90x114
   liftwand
   - Sandstone
   metalstudwand
   - IFC_HSB_70mm
   - Concrete
   opgaand werk
   - Sandstone
   separatiewand
   - Concrete
   - IFC_gipsblokken_70mm
   - IFC_HSB_70mm
   spouwisolatie
   - Insulation
   zijwang dakk
   - IFC_dakkapel_zijwang
   zinkwerk
   - Material data not available</t>
  </si>
  <si>
    <t>Exterior Wall Materials by Wall Type:
   HSB-element
   - IFC_HSB_155_wandelement_Rc=3,67
   - IFC_HSB_155_wandelement_ongeisoleerd_multiplex
   balkonopstand
   - Brick
   binnenblad
   - Sandstone
   buitenblad
   - Brick
   - Concrete
   dakisolatie
   - Insulation
   knieschot
   - IFC_knieschot_geisoleerd_Rc=4,00
   kozijn
   - IFC_kozijn_90x114
   liftwand
   - Sandstone
   opgaand werk
   - Sandstone
   spouwisolatie
   - Insulation
   zijwang dakk
   - IFC_dakkapel_zijwang
   zinkwerk
   - Material data not available</t>
  </si>
  <si>
    <t>Interior Wall Materials by Wall Type:
   binnenwand
   - Sandstone
   binnenwanden
   - Concrete
   knieschot
   - IFC_knieschot_ongeisoleerd
   liftwand
   - Sandstone
   metalstudwand
   - IFC_HSB_70mm
   - Concrete
   separatiewand
   - Concrete
   - IFC_gipsblokken_70mm
   - IFC_HSB_70mm</t>
  </si>
  <si>
    <t>Wall Thicknesses by Wall Type:
   HSB-element
   - Thickness data not available
   balkonopstand
   - 100mm
   binnenblad
   -  175mm, 214mm
   binnenwand
   - 100mm, 120mm, 214mm, 300mm
   binnenwanden
   -  70mm
   buitenblad
   - 100mm
   dakisolatie
   -  190mm
   knieschot
   - Thickness data not available
   kozijn
   - Thickness data not available
   liftwand
   -  100mm, 214mm
   metalstudwand
   -  100mm, 70mm
   opgaand werk
   -  100mm
   separatiewand
   -  100mm, 70mm
   spouwisolatie
   -  74mm
   zijwang dakk
   - Thickness data not available
   zinkwerk
   - Thickness data not available</t>
  </si>
  <si>
    <t>Wall Structural Classification:
   - Load-bearing: 167 walls (19.0%)
   - Non-load-bearing: 713 walls (81.0%)</t>
  </si>
  <si>
    <t>The total length of Exterior walls is 84.6 m.</t>
  </si>
  <si>
    <t>The total length of Interior walls is 53.29 m.</t>
  </si>
  <si>
    <t>Total Walls: 7426
   Wall Types and Quantities (Top 15):
   - 22_Wall_DD-ytong G5/800 : 2066 walls (27.8%)
   - 21_Wall_DD-spouwisolatie : 1063 walls (14.3%)
   - 22_Wall_DD-kalkzandsteen: 394 walls (5.3%)
   - 21_Wall_DD-spouwisolatie: 379 walls (5.1%)
   - 22-Wall_DD-mst  voorzetwand gang: 378 walls (5.1%)
   - 21_Wall_DD-kalkzandsteen dik 120mm: 372 walls (5.0%)
   - Unnamed Wall: 351 walls (4.7%)
   - 41_Wall_DD-wandafwerking loggia: 324 walls (4.4%)
   - 31-dd-wand tbv buitenkozijnen: 299 walls (4.0%)
   - 22_Wall_DD_Gyproc GF 205/2.75 75.2 AA: 243 walls (3.3%)
   - 22_Wall_DD-ytong G5/800: 180 walls (2.4%)
   - 21_Wall_DD-spouwisolatie loggia: 162 walls (2.2%)
   - 22-Wall_DD-mst  voorzetwand: 134 walls (1.8%)
   - 22_Wall_DD-gipsplaat: 133 walls (1.8%)
   - 74_Wall_DD-douchewand: 129 walls (1.7%)</t>
  </si>
  <si>
    <t>Total Exterior Walls: 2960
   Exterior Wall Types:
   - 21_Wall_DD-spouwisolatie : 1063 walls (35.9%)
   - 21_Wall_DD-spouwisolatie: 379 walls (12.8%)
   - Unnamed Wall: 351 walls (11.9%)
   - 41_Wall_DD-wandafwerking loggia: 324 walls (10.9%)
   - 31-dd-wand tbv buitenkozijnen: 299 walls (10.1%)
   - 21_Wall_DD-spouwisolatie loggia: 162 walls (5.5%)
   - 21_Wall_DD-spouwisolatie dik 150mm: 116 walls (3.9%)
   - 41-covering-DD-DAKRAND REKJE: 81 walls (2.7%)
   - 31-dd-aluminiumkoof: 56 walls (1.9%)
   - 41_DD_afwerking1 borstwering dakterras: 39 walls (1.3%)
   - 41_DD_afwerking borstwering dakterras: 25 walls (0.8%)
   - 21_Wall_DD-ruimtebeslag: 24 walls (0.8%)
   - 41_DD_afwerking3 borstwering dakterras: 16 walls (0.5%)
   - 41_Wall_DD-wandafwerking hoofdentree: 7 walls (0.2%)
   - 21_DD_gasbeton borstwering: 7 walls (0.2%)
   - sp41_Wall_DD-wandafwerking loggia: 4 walls (0.1%)
   - 21-wall-prefab gevelelement: 2 walls (0.1%)
   - sp21_Wall_DD-spouwisolatie loggia: 2 walls (0.1%)
   - sp21_Wall_DD-spouwisolatie : 2 walls (0.1%)
   - sp41-covering-DD-DAKRAND REKJE: 1 walls (0.0%)</t>
  </si>
  <si>
    <t>Total Interior Walls: 4466
   Interior Wall Types (Top 10):
   - 22_Wall_DD-ytong G5/800 : 2066 walls (46.3%)
   - 22_Wall_DD-kalkzandsteen: 394 walls (8.8%)
   - 22-Wall_DD-mst  voorzetwand gang: 378 walls (8.5%)
   - 21_Wall_DD-kalkzandsteen dik 120mm: 372 walls (8.3%)
   - 22_Wall_DD_Gyproc GF 205/2.75 75.2 AA: 243 walls (5.4%)
   - 22_Wall_DD-ytong G5/800: 180 walls (4.0%)
   - 22-Wall_DD-mst  voorzetwand: 134 walls (3.0%)
   - 22_Wall_DD-gipsplaat: 133 walls (3.0%)
   - 74_Wall_DD-douchewand: 129 walls (2.9%)
   - 22_Wall_DD-steunwand daloc deuren: 105 walls (2.4%)</t>
  </si>
  <si>
    <t>Wall Load-Bearing Classification:
   - Load-bearing walls: 2 (0.0%)
   - Non-load-bearing walls: 7424 (100.0%)
   - Unclassified walls: 0 (0.0%)
   - Total walls: 7426
Note: Nearly all walls inside the architecture ifc file are non-load-bearing. The load-bearing walls are modelled in the structural file.</t>
  </si>
  <si>
    <t>What different wall thicknesses are used in the structural walls?</t>
  </si>
  <si>
    <t>Structural Wall System:
   Total Structural Walls: 299
   Specific Wall Types:
   - Basic Wall:22_WA_AT_ihw beton_225 (C25/30): 81 units (27.1%)
   - Basic Wall:22_WA_AT_prefab beton_250: 68 units (22.7%)
   - Basic Wall:22_WA_AT_ihw beton_250 (C25/30): 36 units (12.0%)
   - Basic Wall:22_WA_AT_ihw beton_225 (C30/37): 30 units (10.0%)
   - Basic Wall:22_WA_AT_ihw beton_225 (C35/45): 21 units (7.0%)
   - Basic Wall:22_WA_AT_ihw beton_250 (C35/45): 17 units (5.7%)
   - Basic Wall:22_WA_AT_ihw beton_250 (C30/37): 12 units (4.0%)
   - Basic Wall:22_WA_AT_ihw beton_200 (C25/30): 9 units (3.0%)
   - Basic Wall:22_WA_AT_ihw beton_300 (C30/37): 8 units (2.7%)
   - Basic Wall:22_WA_AT_ihw beton_300 (C35/45): 6 units (2.0%)
   - Basic Wall:22_WA_AT_ihw beton_200 (C30/37): 5 units (1.7%)
   - Basic Wall:22_WA_AT_ihw beton_200 (C35/45): 2 units (0.7%)
   - Basic Wall:21_WA_AT_ihw beton_400 (C30/37): 2 units (0.7%)
   - Basic Wall:21_WA_AT_ihw beton_500 (C30/37): 1 units (0.3%)
   - Basic Wall:21_WA_AT_ihw beton_510 (C30/37): 1 units (0.3%)</t>
  </si>
  <si>
    <t>Concrete Quantity Analysis:
   Total Concrete Volume: 7505.98 cu m
   Concrete Distribution by Element:
   - Slabs: 4613.27 m³ (75.2%)
   - Walls: 1367.59 m³ (22.3%)
   - Columns: 136.77 m³ (2.2%)
   - Beams: 20.76 m³ (0.3%)
   Note:
   These volumes are gross estimates assuming pure concrete. Actual concrete volume has steel reinforcement within the structural elements.</t>
  </si>
  <si>
    <t>Total Non-Load-Bearing Walls: 100
   Non-Load-Bearing Wall Types:
   - Gips 275646950 100: 70 walls (70%)
     Materials:
       • Gips 275646950 (0.100m)
   - Kalksandstein 268899148 200: 18 walls (18%)
     Materials:
       • Kalksandstein 268899148 (0.200m)
   - Holzrahmen_Wand 11: 11 walls (11%)
     Materials: No material data available
   - Beton-Wärmeschutz 250: 1 walls (1%)
     Materials:
       • Isolierung, hart 275646950 (0.100m)
       • Beton, tragend 268571148 (0.150m)</t>
  </si>
  <si>
    <t>Total Load-Bearing Walls: 181
   Load-Bearing Wall Types:
   - Beton-Wärmeschutz 250: 65 walls (36%)
     Materials:
       • Isolierung, hart 275646950 (0.100m)
       • Beton, tragend 268571148 (0.150m)
   - Kalksandstein 268899148 200: 46 walls (25%)
     Materials:
       • Kalksandstein 268899148 (0.200m)
   - Stahlbeton 2816491304 200: 40 walls (22%)
     Materials:
       • Stahlbeton 2816491304 (0.200m)
   - Kalksandstein 268899148 175: 30 walls (17%)
     Materials:
       • Kalksandstein 268899148 (0.200m)</t>
  </si>
  <si>
    <t>Total Walls: 281
   Wall Types:
   - Gips 275646950 100: 70 walls
   - Beton-WÖ§rmeschutz 250: 66 walls
   - Kalksandstein 268899148 200: 46 walls
   - Stahlbeton 2816491304 200: 40 walls
   - Kalksandstein 268899148 175: 30 walls
   - Kalksandstein 268899148 200: 18 walls
   - Holzrahmen_Wand 11: 11 walls</t>
  </si>
  <si>
    <t>Total Exterior Walls: 152
   Exterior Wall Types:
   - Beton-Wärmeschutz 250: 65 walls (43%)
   - Stahlbeton 2816491304 200: 40 walls (26%)
   - Kalksandstein 268899148 200: 36 walls (24%)
   - Holzrahmen_Wand 11: 11 walls (7%)</t>
  </si>
  <si>
    <t>Total Interior Walls: 129
   Interior Wall Types:
   - Gips 275646950 100: 70 walls (54%)
   - Kalksandstein 268899148 175: 30 walls (23%)
   - Kalksandstein 268899148 200: 28 walls (22%)
   - Beton-Wärmeschutz 250: 1 walls (1%)</t>
  </si>
  <si>
    <t>Wall type identified in the building:
- Basic Wall:Exterior - Brick on Mtl. Stud
- Basic Wall:Exterior - Insul Panel on Mtl. Stud
- Basic Wall:Interior - Furring (38 mm Stud)
- Basic Wall:Interior - Partition (92mm Stud)
- Basic Wall:Interior - Rated 1-HR (92mm Stud)
- Basic Wall:Interior - Toilet Partition (25mm)
- Basic Wall:Interior - Plumbing (152mm Stud)</t>
  </si>
  <si>
    <t>Total interior wall surface area to paint is approximately 989.2 sq m</t>
  </si>
  <si>
    <t>The total length of exterior and interior walls are:
   - Exterior walls: 189.26 m
   - Interior walls: 383.66 m</t>
  </si>
  <si>
    <t>What are the total lengths of exterior and interior walls?</t>
  </si>
  <si>
    <t>Systems on Level 1:
    - Electrical: 2 components
    - HVAC: 15 components
    - Other: 1366 components
    - Plumbing: 10 components</t>
  </si>
  <si>
    <t>Systems on Level 2:
    - HVAC: 9 components
    - Other: 1094 components
    - Plumbing: 1 components</t>
  </si>
  <si>
    <t>Roof Level MEP Systems:
   - Ventilation: 2 components
   - Plumbing: 23 components</t>
  </si>
  <si>
    <t>MEP Components by Type:
   - Flow Terminals: 1456 units
   - Flow Segments (Ducts/Pipes): 1959 units
   - Flow Fittings: 2241 units
   - Flow Controllers (Valves): 12 units
   - Flow Moving Devices (Fans/Pumps): 25 units
   - Flow Storage Devices (Tanks): 1 units
   - Energy Conversion Devices: 3 units
   Total MEP Components: 5697</t>
  </si>
  <si>
    <t>How many MEP components exist per type?</t>
  </si>
  <si>
    <t xml:space="preserve">   Systems Found:
   - Electrical: 440 components
   - Fire Protection: 292 components
   - HVAC: 668 components
   - Other: 2955 components
   - Plumbing: 1342 components</t>
  </si>
  <si>
    <t>Structural System: Steel Frame Construction
Structural Elements:
- Beams: 356 elements
- Columns: 80 elements
- Slabs: 6 elements
- Foundation Walls: 8 elements
- Footings: 45 elements
- Roof Elements: 3 elements</t>
  </si>
  <si>
    <t>Foundation System: Concrete Footings and Foundation Walls
Foundation Elements used:
- Strip Footings: 45 elements
- Foundation Walls: 8 elements
Foundation Types used:
- M_Footing-Rectangular:2000 x 2000 x 300mm: 40 footings
- Wall Foundation:Bearing Footing - 900 x 300: 4 footings
- M_Footing-Rectangular:3300 x 3740 x 300mm: 1 footings</t>
  </si>
  <si>
    <t>Beam Types:
- M_K-Series Bar Joist-Rod Web:14K1: 182 beams (51.1%)
- M_W-Wide Flange:W460X60: 121 beams (34.0%)
- M_K-Series Bar Joist-Rod Web:12K3: 45 beams (12.6%)
- M_W-Wide Flange:W360X44: 8 beams (2.2%)</t>
  </si>
  <si>
    <t>Slab Types:
- Basic Roof:Standing Seam Metal Roof: 2 slabs
- Basic Roof:EPDM Membrane on Rigid Insul on Metal Deck: 2 slabs
- Floor:64mm Concrete With 38mm Metal Deck: 1 slabs
- Floor:127mm Slab on Grade: 1 slabs</t>
  </si>
  <si>
    <t>What is the space breakdown of the building grouped by floor with their respective areas and totals?</t>
  </si>
  <si>
    <t>What is the space breakdown of the first floor with respective areas and total?</t>
  </si>
  <si>
    <t>What is the space breakdown of the second floor with respective areas and total?</t>
  </si>
  <si>
    <t>What is the space breakdown of the third floor with respective areas and total?</t>
  </si>
  <si>
    <t>What are the floor-to-floor heights between all consecutive levels?</t>
  </si>
  <si>
    <t>What window types are used in this building and their respective counts?</t>
  </si>
  <si>
    <t>What is the total cost of doors used in this building and the breakdown by door type?</t>
  </si>
  <si>
    <t>What is the total cost of windows used in this building?</t>
  </si>
  <si>
    <t>What percentage of wall volume is load-bearing?</t>
  </si>
  <si>
    <t>What is the total interior wall surface area to be painted?</t>
  </si>
  <si>
    <t>What is the volume breakdown of floor slabs grouped by floor and the total volume?</t>
  </si>
  <si>
    <t>What plumbing fixtures are in this building and their respective counts?</t>
  </si>
  <si>
    <t>What electrical components are in this building and their counts?</t>
  </si>
  <si>
    <t>What furniture types are in this building and how many are there?</t>
  </si>
  <si>
    <t>What door types are used in this building and their counts?</t>
  </si>
  <si>
    <t>What are the number of levels, building footprint area, total floor area, and total number of rooms/spaces?</t>
  </si>
  <si>
    <t>What is the space distribution by level with areas and primary space functions with percentages?</t>
  </si>
  <si>
    <t>What is the space breakdown of the basement floor grouped by function with areas?</t>
  </si>
  <si>
    <t>What is the space breakdown of the ground level grouped by function with areas?</t>
  </si>
  <si>
    <t>What is the space breakdown of the first floor grouped by function with areas?</t>
  </si>
  <si>
    <t>What is the space breakdown of the second level grouped by function with areas?</t>
  </si>
  <si>
    <t>What is the space breakdown of the attic floor with areas?</t>
  </si>
  <si>
    <t>Which door types are installed in this building with quantities?</t>
  </si>
  <si>
    <t>Which window types are present in the building and how many of each?</t>
  </si>
  <si>
    <t>What wall types are present in the building and how many of each?</t>
  </si>
  <si>
    <t>Which wall types are used on the exterior side of the building and how many of each?</t>
  </si>
  <si>
    <t>What interior wall types are in the building with quantities for each?</t>
  </si>
  <si>
    <t>Which materials are used to construct the walls and their usage across wall types?</t>
  </si>
  <si>
    <t>What materials are applied in the outer walls and their distribution across wall types?</t>
  </si>
  <si>
    <t>What materials are found in the internal walls and their distribution across wall types?</t>
  </si>
  <si>
    <t>What is the building's total net usable floor area with the breakdown by level?</t>
  </si>
  <si>
    <t>What furniture items are present inside the building including quantities for each type?</t>
  </si>
  <si>
    <t>Which stair types are used here with quantities?</t>
  </si>
  <si>
    <t>What is the total volume of the slabs with the breakdown by slab type?</t>
  </si>
  <si>
    <t>Which railing types are installed in the building?</t>
  </si>
  <si>
    <t>Which column types are present here and how many of each?</t>
  </si>
  <si>
    <t>Which slab types are present with quantities and thicknesses?</t>
  </si>
  <si>
    <t>The total gross facade surface area is approximately 1371 sq m.</t>
  </si>
  <si>
    <t>What is the total concrete volume used structurally, with breakdown by element type?</t>
  </si>
  <si>
    <t>What are the dimensions of the columns, with distribution by size?</t>
  </si>
  <si>
    <t>Which types of structural members are present, showing quantity breakdown?</t>
  </si>
  <si>
    <t>Which roof structural components are used, with type distribution?</t>
  </si>
  <si>
    <t>What is the building's total floor area, number of levels, total spaces, and program breakdown by floor?</t>
  </si>
  <si>
    <t>What is the complete space breakdown for all building levels, listing room names and areas?</t>
  </si>
  <si>
    <t>What spaces are on Level B01_OKRD, with their room names and areas?</t>
  </si>
  <si>
    <t>What spaces are on Level E00_OKRD, with their room names and areas?</t>
  </si>
  <si>
    <t>What spaces are on Level E01_OKRD, with their room names and areas?</t>
  </si>
  <si>
    <t>Which installations or equipment are found in the parking lot, with their quantities?</t>
  </si>
  <si>
    <t>Which doors are installed in this building, showing distribution by type?</t>
  </si>
  <si>
    <t>Which types of windows are present in the building, with quantity distribution?</t>
  </si>
  <si>
    <t>What wall types are used in the building, along with their quantities?</t>
  </si>
  <si>
    <t>Which walls are used for the exterior of the building, with type distribution?</t>
  </si>
  <si>
    <t>What walls are used on the interior side of the building, showing quantity breakdown?</t>
  </si>
  <si>
    <t>What is the building's total gross floor area, with breakdown by level?</t>
  </si>
  <si>
    <t>Which materials are applied in the ceilings, including element counts?</t>
  </si>
  <si>
    <t>What is the total combined length of the exterior and interior walls?</t>
  </si>
  <si>
    <t>What is the building's average door width, including maximum and minimum?</t>
  </si>
  <si>
    <t>What kinds of stairs are used here, with quantities by type?</t>
  </si>
  <si>
    <t>Which floor slab types are present, and how many of each?</t>
  </si>
  <si>
    <t>Which coverings are applied throughout the building, with element counts?</t>
  </si>
  <si>
    <t>Which types of railings are installed, including element counts?</t>
  </si>
  <si>
    <t>How is the building's space utilized by function, with area distribution?</t>
  </si>
  <si>
    <t>What is the structural system applied in this building, including element counts?</t>
  </si>
  <si>
    <t>Which beam types are present in the building, with quantities?</t>
  </si>
  <si>
    <t>Which columns are used in the building, showing distribution by type?</t>
  </si>
  <si>
    <t>What slab types and thicknesses are present, with distribution by type?</t>
  </si>
  <si>
    <t>Which component types comprise the heating system and how many of each?</t>
  </si>
  <si>
    <t>Which pipe types are used in this building with quantities?</t>
  </si>
  <si>
    <t>Which pipe fitting types are used in this building including the number of each?</t>
  </si>
  <si>
    <t>Which valve types are used in this building and how many of each?</t>
  </si>
  <si>
    <t>Which heating sensor types are used in this building with quantities?</t>
  </si>
  <si>
    <t>Which radiator types are used in this building including counts?</t>
  </si>
  <si>
    <t>Which pump types are used in this building and how many of each?</t>
  </si>
  <si>
    <t>Which tank types are used in this building with quantities?</t>
  </si>
  <si>
    <t>Which unitary equipment types are used in this building including the number of each?</t>
  </si>
  <si>
    <t>What heating systems are present in this building including counts by system category?</t>
  </si>
  <si>
    <t>What component types comprise the plumbing system and their respective counts?</t>
  </si>
  <si>
    <t>What pipe types are used in this building and their respective counts?</t>
  </si>
  <si>
    <t>What pipe fitting types are used in this building and their respective counts?</t>
  </si>
  <si>
    <t>What valve types are used in this building and their respective counts?</t>
  </si>
  <si>
    <t>What sanitary terminal types are used in this building and their respective counts?</t>
  </si>
  <si>
    <t>What water heater types are used in this building and their respective counts?</t>
  </si>
  <si>
    <t>What waste terminal types are used in this building and their respective counts?</t>
  </si>
  <si>
    <t>What filter types are used in this building and their respective counts?</t>
  </si>
  <si>
    <t>What plumbing systems are present in this building and their counts by system type?</t>
  </si>
  <si>
    <t>What component types comprise the ventilation system and their respective counts?</t>
  </si>
  <si>
    <t>What is the total length of ductwork used in the ventilation system and the breakdown by building level?</t>
  </si>
  <si>
    <t>What duct types are used in this building and their respective counts?</t>
  </si>
  <si>
    <t>What duct fitting types are used in this building and their respective counts?</t>
  </si>
  <si>
    <t>What air terminal types are used in this building and their respective counts?</t>
  </si>
  <si>
    <t>What damper types are used in this building and their respective counts?</t>
  </si>
  <si>
    <t>What fan types are used in this building and their respective counts?</t>
  </si>
  <si>
    <t>What coil types are used in this building and their respective counts?</t>
  </si>
  <si>
    <t>What heat recovery unit types are used in this building and their respective counts?</t>
  </si>
  <si>
    <t>What ventilation systems are present in this building and their counts by system type?</t>
  </si>
  <si>
    <t>What is the project information and location details for this building?</t>
  </si>
  <si>
    <t>What are the key building metrics including element counts, number of levels, total spaces, and footprint area?</t>
  </si>
  <si>
    <t>What is the space breakdown by level and function, including areas?</t>
  </si>
  <si>
    <t>What are all the rooms on the ground level, including their areas and ceiling heights?</t>
  </si>
  <si>
    <t>What are all the rooms in the attic level, including their areas and ceiling heights?</t>
  </si>
  <si>
    <t>What are the elevation, floor height, and floor-to-floor height for each level?</t>
  </si>
  <si>
    <t>What door types are present in the building, how many of each type, and what are their dimensions?</t>
  </si>
  <si>
    <t>What is the narrowest door width used in the building, and which doors have this width?</t>
  </si>
  <si>
    <t>What window types are present in the building, how many of each, and how are they distributed by floor?</t>
  </si>
  <si>
    <t>What is the maximum window width used in this building, and which windows have this width?</t>
  </si>
  <si>
    <t>What is the minimum window width used in the building, and which windows have this width?</t>
  </si>
  <si>
    <t>What wall types are used throughout the building, with their respective quantities?</t>
  </si>
  <si>
    <t>Which walls form the exterior envelope, and what are their properties including thickness and total length?</t>
  </si>
  <si>
    <t>Which walls are used on the interior partitions, and what are their properties including thickness and total length?</t>
  </si>
  <si>
    <t>What is the building's total net floor area, broken down by level?</t>
  </si>
  <si>
    <t>What is the total volume of all floor slabs combined?</t>
  </si>
  <si>
    <t>Which rooms have the highest ceiling heights, and what is that height value?</t>
  </si>
  <si>
    <t>How is the building's space allocated by function, with areas and percentages for each?</t>
  </si>
  <si>
    <t>What are the main structural elements in this building, grouped by type with their counts?</t>
  </si>
  <si>
    <t>Which beam types are used in the structure, with their quantities and properties?</t>
  </si>
  <si>
    <t>What slab types are used, how many of each, and what are their thicknesses?</t>
  </si>
  <si>
    <t>Which roof structural components are employed, including slabs, members, and beams?</t>
  </si>
  <si>
    <t>What is the space breakdown by level, including total spaces and floor areas?</t>
  </si>
  <si>
    <t>What are all the spaces in the underground level, with their areas?</t>
  </si>
  <si>
    <t>What are all the spaces on the ground level, grouped by function with their areas?</t>
  </si>
  <si>
    <t>What are all the spaces on level 1, grouped by function with their areas?</t>
  </si>
  <si>
    <t>What are all the spaces on level 2, grouped by function with their areas?</t>
  </si>
  <si>
    <t>What are all the spaces on level 3, grouped by function with their areas?</t>
  </si>
  <si>
    <t>What are the elevation and floor-to-floor heights for each level?</t>
  </si>
  <si>
    <t>What door types are present in this building, with their quantities and percentages?</t>
  </si>
  <si>
    <t>What window types are present in this building, including their quantities, percentages, and distribution by floor?</t>
  </si>
  <si>
    <t>What wall types are used in the building, along with their quantities and percentages?</t>
  </si>
  <si>
    <t>What wall types are used in the exterior of the building, with their quantities and percentages?</t>
  </si>
  <si>
    <t>What wall types are used in the interior of the building, with their quantities and percentages?</t>
  </si>
  <si>
    <t>What is the thickness range and specific thickness values for each wall type?</t>
  </si>
  <si>
    <t>What is the total net floor area of the building, broken down by level?</t>
  </si>
  <si>
    <t>What stair types are used, with their quantities?</t>
  </si>
  <si>
    <t>What is the building's space utilization by function, with areas and percentages?</t>
  </si>
  <si>
    <t>What structural elements are in this building, grouped by type with their counts?</t>
  </si>
  <si>
    <t>What beam types are used in this building, with their quantities and percentages?</t>
  </si>
  <si>
    <t>What column types are used in this building, with their quantities and percentages?</t>
  </si>
  <si>
    <t>What is the project information, building name and usage, and location data for this building?</t>
  </si>
  <si>
    <t>Building Information:
   - Project Name: Default Project
   - Building Name: Tromso university college (HITOS)
   - Educational Building
   - Site/Location: Northern Norway (69°40'0"N, 18°50'0"E)</t>
  </si>
  <si>
    <t>What is the project name and location coordinates for this building?</t>
  </si>
  <si>
    <t>What are the key building metrics including total elements, number of spaces, and building levels with their elevations?</t>
  </si>
  <si>
    <t>What is the space breakdown by level, with individual room areas?</t>
  </si>
  <si>
    <t>What are all the spaces on the ground level, with their areas?</t>
  </si>
  <si>
    <t>What are all the spaces on level 1, with their areas?</t>
  </si>
  <si>
    <t>What are all the spaces on level 2, with their areas?</t>
  </si>
  <si>
    <t>What are all the spaces on level 3, with their areas?</t>
  </si>
  <si>
    <t>What are all the spaces on level 4, with their areas?</t>
  </si>
  <si>
    <t>What are all the spaces on level 5, with their areas?</t>
  </si>
  <si>
    <t>What are all the spaces on level 6, with their areas?</t>
  </si>
  <si>
    <t>Which door types are installed in the building, along with their quantities?</t>
  </si>
  <si>
    <t>Which window types are present in this building, with their quantities?</t>
  </si>
  <si>
    <t>What is the largest window width used in this building?</t>
  </si>
  <si>
    <t>What wall types are used in the building, including their quantities?</t>
  </si>
  <si>
    <t>Which wall types form the exterior of the building, with their quantities?</t>
  </si>
  <si>
    <t>Which wall types are used internally, with their quantities?</t>
  </si>
  <si>
    <t>Which types of stairs are used, including their quantities?</t>
  </si>
  <si>
    <t>How is the building's space allocated by function, with areas and percentages?</t>
  </si>
  <si>
    <t>What structural elements are present in this building, grouped by type with their counts?</t>
  </si>
  <si>
    <t>Which types of beams are used in the building, with their quantities?</t>
  </si>
  <si>
    <t>Which column types are present in the building, including their quantities?</t>
  </si>
  <si>
    <t>What is the project information and location for this building?</t>
  </si>
  <si>
    <t>How is the building's space utilized by function, with areas and percentages?</t>
  </si>
  <si>
    <t>Which door types are installed in the building, with their quantities?</t>
  </si>
  <si>
    <t>Which window types are present in this building, including their quantities?</t>
  </si>
  <si>
    <t>What is the widest window used in this building?</t>
  </si>
  <si>
    <t>What types of walls are used in the building, with their quantities?</t>
  </si>
  <si>
    <t>Which wall types are used on the exterior of the building, including their quantities?</t>
  </si>
  <si>
    <t>Which wall types are used for interior partitions, with their quantities?</t>
  </si>
  <si>
    <t>Which footing types are used?</t>
  </si>
  <si>
    <t>Which stair types are used, including their quantities?</t>
  </si>
  <si>
    <t>Which column types are present in this building?</t>
  </si>
  <si>
    <t>What different types of pipes are used in this building, with their quantities?</t>
  </si>
  <si>
    <t>What different types of pipe fittings are used in this building, including their quantities?</t>
  </si>
  <si>
    <t>What different types of sanitary terminals are used in this building, along with their counts?</t>
  </si>
  <si>
    <t>What flow segments are used for each MEP system?</t>
  </si>
  <si>
    <t>What is the building's MEP system summary?</t>
  </si>
  <si>
    <t>What are the key building metrics including element counts, number of levels, and total spaces?</t>
  </si>
  <si>
    <t>Which types of walls are used in the building, with their quantities?</t>
  </si>
  <si>
    <t>What types of pipes are used in the building, including their quantities?</t>
  </si>
  <si>
    <t>What are all the spaces on level 7, with their areas?</t>
  </si>
  <si>
    <t>What are all the spaces on level 8, with their areas?</t>
  </si>
  <si>
    <t>What are all the spaces on level 9, with their areas?</t>
  </si>
  <si>
    <t>What are all the spaces on level 10, with their areas?</t>
  </si>
  <si>
    <t>What are all the spaces on level 11, with their areas?</t>
  </si>
  <si>
    <t>What are all the spaces on level 12, with their areas?</t>
  </si>
  <si>
    <t>What are all the spaces on level 13, with their areas?</t>
  </si>
  <si>
    <t>What are all the spaces on level 14, with their areas?</t>
  </si>
  <si>
    <t>What are all the spaces on level 15, with their areas?</t>
  </si>
  <si>
    <t>What are all the spaces on level 16, with their areas?</t>
  </si>
  <si>
    <t>What are all the spaces on level 17, with their areas?</t>
  </si>
  <si>
    <t>What is the space utilization by function in level 1, with areas and percentages?</t>
  </si>
  <si>
    <t>What is the space utilization by function in level 12, with areas and percentages?</t>
  </si>
  <si>
    <t>What door types are used in this building, including their quantities?</t>
  </si>
  <si>
    <t>What window types are used in this building, with their quantities?</t>
  </si>
  <si>
    <t>What wall types are used in the exterior of the building, with their quantities?</t>
  </si>
  <si>
    <t>What wall types are used in the interior of the building, including their quantities?</t>
  </si>
  <si>
    <t>What beam types are used in this building, including their quantities?</t>
  </si>
  <si>
    <t>What electrical components are present in this building, grouped by type with their counts?</t>
  </si>
  <si>
    <t>What lighting fixtures are installed, including their quantities?</t>
  </si>
  <si>
    <t>What electrical receptacles are installed, with their quantities?</t>
  </si>
  <si>
    <t>What electrical switches are installed, along with their counts?</t>
  </si>
  <si>
    <t>What electrical distribution equipment is installed, including quantities?</t>
  </si>
  <si>
    <t>What systems are used in this building for insulating and routing the cables?</t>
  </si>
  <si>
    <t>How long is the total amount of conduit used in this building?</t>
  </si>
  <si>
    <t>What are the conduits made out of?</t>
  </si>
  <si>
    <t>What junction box types are used in this building?</t>
  </si>
  <si>
    <t>What data and communication devices are installed, with their quantities?</t>
  </si>
  <si>
    <t>What cable tray systems are used, including their quantities?</t>
  </si>
  <si>
    <t>What parts comprise the plumbing system, with their quantities?</t>
  </si>
  <si>
    <t>What kind of pipes are used in this building, including their quantities?</t>
  </si>
  <si>
    <t>What types of plumbing pumps and moving devices are installed, with their counts?</t>
  </si>
  <si>
    <t>What different types of valves are used in this building, along with their quantities?</t>
  </si>
  <si>
    <t>What different types of pipes are used in this building, including their quantities?</t>
  </si>
  <si>
    <t>What different types of pipe fittings are used in this building, with their quantities?</t>
  </si>
  <si>
    <t>What different types of sanitary terminals are used in this building, with their counts?</t>
  </si>
  <si>
    <t>What different types of waste terminals are used in this building, including their quantities?</t>
  </si>
  <si>
    <t>What water storage and heating systems are installed, with their quantities?</t>
  </si>
  <si>
    <t>What pumps are used in the system, including their quantities?</t>
  </si>
  <si>
    <t>What measuring equipment is used here, with their quantities?</t>
  </si>
  <si>
    <t>What types of pipe accessories are used in this building, including their quantities?</t>
  </si>
  <si>
    <t>What sub-systems are defined within this plumbing system, and how many are they?</t>
  </si>
  <si>
    <t>What column types are used in this building, including their quantities?</t>
  </si>
  <si>
    <t>What slab types are used in this building, with their quantities?</t>
  </si>
  <si>
    <t>What footing types are used in this building, along with their quantities?</t>
  </si>
  <si>
    <t>What structural wall types are used in this building, including their quantities?</t>
  </si>
  <si>
    <t>What beam types are used in this building, with their quantities?</t>
  </si>
  <si>
    <t>Structural Wall Thicknesses:
   - 510mm: 1 wall
   - 500mm: 1 wall
   - 400mm: 2 wall
   - 300mm: 14 walls
   - 250mm: 133 walls
   - 225mm: 132 walls
   - 200mm: 16 walls</t>
  </si>
  <si>
    <t>What ventilation systems are present in this building, including their types and quantities?</t>
  </si>
  <si>
    <t>What components comprise the ventilation system, with a breakdown by category?</t>
  </si>
  <si>
    <t>What cooling systems are installed, and how many of each type?</t>
  </si>
  <si>
    <t>What heating systems are installed, with their component counts?</t>
  </si>
  <si>
    <t>What types of air flow controllers are installed, along with their occurrence frequency?</t>
  </si>
  <si>
    <t>What different types of air terminals are used in this building, with quantity distribution?</t>
  </si>
  <si>
    <t>What different types of ducts are used in this building, showing counts by shape and material?</t>
  </si>
  <si>
    <t>What are the different duct types used in this building, broken down by specifications?</t>
  </si>
  <si>
    <t>What are the duct fitting types and their respective quantities?</t>
  </si>
  <si>
    <t>What different types of fans are used in this building, including how many of each?</t>
  </si>
  <si>
    <t>What types of coils are integrated in the building systems, with unit counts?</t>
  </si>
  <si>
    <t>What different types of dampers are used in this building, with distribution by application?</t>
  </si>
  <si>
    <t>What types of heat recovery units are used in this building, and how many?</t>
  </si>
  <si>
    <t>What measuring equipment is present in the ventilation system, with quantities by type?</t>
  </si>
  <si>
    <t>What insulation types are used in the ventilation system, showing coverage distribution?</t>
  </si>
  <si>
    <t>What types of mechanical equipment are used in this building, along with unit counts?</t>
  </si>
  <si>
    <t>What types of duct accessories are used in this building, with functional breakdown?</t>
  </si>
  <si>
    <t>No dedicated cooling system was found in this model. However, a heat recovery unit was found that could support a cooling system.
   Heat Recovery Units:
   - LBK VEX HR 23 HL PSYS HE2</t>
  </si>
  <si>
    <t>No separate heating or cooling coils were identified in the model. It should be noted however, that the installed air handling unit (LBK VEX HR 23 HL PSYS HE2) is designed to allow integration of active heating and/or cooling coils, depending on configuration.</t>
  </si>
  <si>
    <t>What is the project name, building name, location, and basic characteristics of this building?</t>
  </si>
  <si>
    <t>What is the building's total gross floor area, number of levels, total spaces, and area distribution by floor?</t>
  </si>
  <si>
    <t>What is the complete space breakdown for all floors, including room names, functions, and areas?</t>
  </si>
  <si>
    <t>What spaces are on the 1.OG floor, with their functions and areas?</t>
  </si>
  <si>
    <t>What spaces are on the 2.OG floor, with their functions and areas?</t>
  </si>
  <si>
    <t>What spaces are on the EG floor, with their functions and areas?</t>
  </si>
  <si>
    <t>What spaces are on the KG floor, with their functions and areas?</t>
  </si>
  <si>
    <t>Which doors are installed in this building, with quantities by type?</t>
  </si>
  <si>
    <t>Which windows are present in the building, showing size variations and distribution?</t>
  </si>
  <si>
    <t>What types of walls are used throughout the building, along with their quantities?</t>
  </si>
  <si>
    <t>What are the load-bearing wall types, their quantities, and material compositions?</t>
  </si>
  <si>
    <t>What are the non-load-bearing wall types, their quantities, and material compositions?</t>
  </si>
  <si>
    <t>Which walls are used on the exterior of the building, with their type distribution?</t>
  </si>
  <si>
    <t>Which walls are used on the interior of the building, with their type distribution?</t>
  </si>
  <si>
    <t>Which materials are used for the walls, organized by wall type?</t>
  </si>
  <si>
    <t>Which slab types are used between floors, with distribution by level?</t>
  </si>
  <si>
    <t>Which slabs are used on the KG floor, with type quantities?</t>
  </si>
  <si>
    <t>Which slabs are used on the EG floor, with type quantities?</t>
  </si>
  <si>
    <t>Which slabs are used on the 1.OG floor, with type quantities?</t>
  </si>
  <si>
    <t>Which slabs are used on the 2.OG floor, with type quantities?</t>
  </si>
  <si>
    <t>What materials are applied in the slabs, organized by slab type?</t>
  </si>
  <si>
    <t>Which roof types are used in this building, including element count?</t>
  </si>
  <si>
    <t>Which stair types are installed, with quantities for each type?</t>
  </si>
  <si>
    <t>Which structural elements are present in this building, with counts by element type?</t>
  </si>
  <si>
    <t>Which types of beams are used, and how many of each?</t>
  </si>
  <si>
    <t>Which types of columns are present in this building, with their quantities?</t>
  </si>
  <si>
    <t>Which coverings are applied throughout the building, with element counts by type?</t>
  </si>
  <si>
    <t>Which railings are installed in the building, showing total count and type?</t>
  </si>
  <si>
    <t>What is the space breakdown of the building by function, showing area percentages and room counts?</t>
  </si>
  <si>
    <t>What is the space breakdown of Level 1 by function, showing area percentages and room counts?</t>
  </si>
  <si>
    <t>What is the space breakdown of Level 2 by function, showing area percentages and room counts?</t>
  </si>
  <si>
    <t>Which doors are installed in this building, with quantities and distribution by type?</t>
  </si>
  <si>
    <t>Which windows are present in the building, along with their type quantities?</t>
  </si>
  <si>
    <t>What is the total gross floor area of the building, with breakdown by level?</t>
  </si>
  <si>
    <t>Which furniture items are present in the building, with type quantities?</t>
  </si>
  <si>
    <t>Which types of stairs are installed, including stair and flight counts?</t>
  </si>
  <si>
    <t>Which MEP systems are present in the building, with component counts for each?</t>
  </si>
  <si>
    <t>Which MEP systems serve Level 1, showing component counts by system type?</t>
  </si>
  <si>
    <t>Which MEP systems serve Level 2, showing component counts by system type?</t>
  </si>
  <si>
    <t>Which MEP systems serve the roof level, with their component counts?</t>
  </si>
  <si>
    <t>Which types of plumbing controllers are installed, with quantities by size and system?</t>
  </si>
  <si>
    <t>Which pumps are used in the plumbing system, including type and quantity?</t>
  </si>
  <si>
    <t>What components make up the plumbing system, with counts by component type?</t>
  </si>
  <si>
    <t>Which types of pipes are used in this building, with segment counts by system?</t>
  </si>
  <si>
    <t>What is the total length of piping in the plumbing system, broken down by system?</t>
  </si>
  <si>
    <t>Which types of pipe fittings are used in the building, with distribution by type and system?</t>
  </si>
  <si>
    <t>Which types of valves are installed in the building, organized by size and system type?</t>
  </si>
  <si>
    <t>Which types of sanitary equipment are used in the building, with unit counts?</t>
  </si>
  <si>
    <t>Which water storage and heating systems are installed, including equipment counts?</t>
  </si>
  <si>
    <t>Which type of water heater is used in this building, with specifications?</t>
  </si>
  <si>
    <t>Which components make up the ventilation system, with counts by component type?</t>
  </si>
  <si>
    <t>Which cooling systems are installed, with unit specifications?</t>
  </si>
  <si>
    <t>Which heating systems are installed, showing component counts by system type?</t>
  </si>
  <si>
    <t>What are the airflow rates for the HVAC terminals, including totals and averages?</t>
  </si>
  <si>
    <t>Which types of air terminals are installed, with distribution percentages?</t>
  </si>
  <si>
    <t>What is the total length of ductwork in the ventilation system, with breakdown by system?</t>
  </si>
  <si>
    <t>Which types of ducts are used in the building, showing segment counts by system?</t>
  </si>
  <si>
    <t>Which types of duct fittings are installed, with quantities by fitting type?</t>
  </si>
  <si>
    <t>Which types of fans are used in the building, organized by size and system?</t>
  </si>
  <si>
    <t>Which electrical distribution equipment is present, with unit counts by type?</t>
  </si>
  <si>
    <t>What voltage levels are used in the electrical system, with load distribution?</t>
  </si>
  <si>
    <t>Which lighting fixtures are installed, showing quantities and type distribution?</t>
  </si>
  <si>
    <t>What are the electrical loads of the lighting fixtures, including total apparent load?</t>
  </si>
  <si>
    <t>Which electrical receptacles are installed, with type distribution?</t>
  </si>
  <si>
    <t>Which electrical switches are installed, showing quantities by switch type?</t>
  </si>
  <si>
    <t>Which types of fire protection systems are installed, with component breakdown by level?</t>
  </si>
  <si>
    <t>Which types of beams are used in the building, with distribution by type?</t>
  </si>
  <si>
    <t>Which types of columns are present in this building, and how many?</t>
  </si>
  <si>
    <t>Which slab types are present, and how many of each?</t>
  </si>
  <si>
    <t>Space ratio estimation:
- Usable Space: 305.8 sq m (91.9%)
- Circulation Space: 26.9 sq m (8.1%)
- Ratio: 1 to 11.4</t>
  </si>
  <si>
    <t>What is the building's footprint perimeter at ground level?</t>
  </si>
  <si>
    <t>Building's footprint perimeter is approximately 174.7 m, measured from the exterior wall faces at the ground floor level.</t>
  </si>
  <si>
    <t>What is the total length and volume of steel used in beams, organized by major beam type (flange or joist) and their size?</t>
  </si>
  <si>
    <t>Load bearing elements identified in the structural model:
- Load bearing floor slabs: 2
- Load bearing beams: 356
- Load bearing columns: 80
Suggested load path: Vertical loads transfer from slabs -&gt; beams -&gt; columns -&gt; foundations</t>
  </si>
  <si>
    <t>Steel Beam Inventory:
   Total Beams: 356
   Total Steel Length: 2881.40 m
   Total Steel Volume: 9.875 cu m
   K-Series Bar Joist-Rod Web: 227 beams
   - 14K1: 182 beams
     Length: 1646.29 m
     Volume: 2.321 cu m
   - 12K3: 45 beams
     Length: 228.49 m
     Volume: 0.314 cu m
   K-Series Subtotal:
   - Total Length: 1874.78 m
   - Total Volume: 2.635 cu m
   W-Wide Flange: 129 beams
   - W460X60: 121 beams
     Length: 962.23 m
     Volume: 7 cu m
   - W360X44: 8 beams
     Length: 44.39 m
     Volume: 0.239 cu m
   W-Wide Flange Subtotal:
   - Total Length: 1006.62 m
   - Total Volume: 7.240 cu m</t>
  </si>
  <si>
    <t>Wall length data is not available in this model.</t>
  </si>
  <si>
    <t>The total gross floor area is approximately 1252.5 sq m, based on measurements from the building geometry.
Area by Level:
- 00 begane grond: 368.9 sq m (29.4%)
- 01 eerste verdieping: 368.9 sq m (29.4%)
- 02 tweede verdieping: 257.4 sq m (20.6%)
- 03 derde verdieping: 257.4 sq m (20.6%)</t>
  </si>
  <si>
    <t>Floor-to-floor heights based on building geometry measurements:
- 00 begane grond to 01 eerste verdieping: 3.75 m
- 01 eerste verdieping to 02 tweede verdieping: 3.00 m
- 02 tweede verdieping to 03 derde verdieping: 2.60 m</t>
  </si>
  <si>
    <t>Junction Box Analysis:
   Direct junction boxes: 4424
   Conduit junction fittings: 283
   Junction Box Types:
   - E_Wall Junction Box_F_MEPcontent_Attema_HWD50S_16_NL-EN:HWD50S: 2914 units
   - E_Wall Junction Box_F_MEPcontent_Attema_UD50_16_NL-EN:UD50: 1342 units
   - E_Wall Junction Box_MEPcontent_ABB_180:Perilex box 180: 105 units
   - E_Ceiling Junction Box_F_MEPcontent_Attema_CD100R KV_16-19_NL-EN:CD100R: 42 units
   - E_Ceiling Junction Box_F_MEPcontent_Attema_MVS_16_NL-EN:MVS: 19 units
   - S4R_ABB_Junction_box_MD4050:MD4050 50 mm: 1 units
   - E_Cable Junction Box_F_MEPcontent_Attema_Platte Doos_Wieland_2534_NL-EN:Platte Doos 2534: 1 units
   Junction System Overview:
   - Conduit fittings provide junction functionality: 1,309 fittings
   - Fittings include tees, bends, and connection points</t>
  </si>
  <si>
    <t>Distribution of flexible pipes by building level:
   - -1 Fundering: 7 flexible components found
   - 00 begane grond: 159 flexible components found
   - 02 tweede verdieping: 10 flexible components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</si>
</sst>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111CA-A033-F346-A638-C04BD48C2FF0}" name="ifcbench" displayName="ifcbench" ref="A1:E828" totalsRowShown="0" headerRowDxfId="13" dataDxfId="12">
  <autoFilter ref="A1:E828" xr:uid="{565111CA-A033-F346-A638-C04BD48C2FF0}"/>
  <tableColumns count="5">
    <tableColumn id="1" xr3:uid="{4B03F182-7747-E447-BF9C-994D66F8978D}" name="id" dataDxfId="11">
      <calculatedColumnFormula>ROW()-1</calculatedColumnFormula>
    </tableColumn>
    <tableColumn id="2" xr3:uid="{BC46FFCE-AC68-8645-8FE1-5D9E4ECE94E9}" name="question" dataDxfId="10"/>
    <tableColumn id="3" xr3:uid="{579D1BD4-9137-2646-AF77-8E6DBE3088B1}" name="ground_truth" dataDxfId="9"/>
    <tableColumn id="4" xr3:uid="{7CBDC9D7-E8B2-564B-93F9-0636151A720A}" name="ifc_id" dataDxfId="8"/>
    <tableColumn id="5" xr3:uid="{9EBC9796-54A7-324A-ADC4-B16BA3CA4246}" name="category"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550AE7-7592-F046-AD99-CD2B0D86380C}" name="ifcmodels" displayName="ifcmodels" ref="A1:E36" totalsRowShown="0" headerRowDxfId="6" dataDxfId="5">
  <autoFilter ref="A1:E36" xr:uid="{12550AE7-7592-F046-AD99-CD2B0D86380C}"/>
  <tableColumns count="5">
    <tableColumn id="1" xr3:uid="{1750B988-1AF2-A946-BBCC-F7B78E14B253}" name="id" dataDxfId="4"/>
    <tableColumn id="2" xr3:uid="{C260E139-1549-FF41-8613-D5729DB9B5D3}" name="project_name" dataDxfId="3"/>
    <tableColumn id="3" xr3:uid="{5AD855B5-9362-5F4C-B0EE-3957BA7B7993}" name="model_name" dataDxfId="2"/>
    <tableColumn id="4" xr3:uid="{82486E43-422F-B448-A168-4DFAFAA0C3B2}" name="model_path" dataDxfId="1"/>
    <tableColumn id="5" xr3:uid="{B4E5788A-EB04-254E-899B-EE1180077EFC}" name="model_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365F8-4BBE-D44A-9359-51BBF0664496}">
  <dimension ref="A1:E828"/>
  <sheetViews>
    <sheetView tabSelected="1" zoomScale="85" zoomScaleNormal="85" workbookViewId="0">
      <selection activeCell="A2" sqref="A2"/>
    </sheetView>
  </sheetViews>
  <sheetFormatPr defaultColWidth="11" defaultRowHeight="15.75" x14ac:dyDescent="0.25"/>
  <cols>
    <col min="1" max="1" width="4.375" bestFit="1" customWidth="1"/>
    <col min="2" max="2" width="80.875" style="1" customWidth="1"/>
    <col min="3" max="3" width="75.625" style="1" customWidth="1"/>
    <col min="4" max="4" width="7.25" bestFit="1" customWidth="1"/>
    <col min="5" max="5" width="9.875" bestFit="1" customWidth="1"/>
  </cols>
  <sheetData>
    <row r="1" spans="1:5" x14ac:dyDescent="0.25">
      <c r="A1" s="4" t="s">
        <v>0</v>
      </c>
      <c r="B1" s="5" t="s">
        <v>1</v>
      </c>
      <c r="C1" s="5" t="s">
        <v>2</v>
      </c>
      <c r="D1" s="4" t="s">
        <v>3</v>
      </c>
      <c r="E1" s="4" t="s">
        <v>4</v>
      </c>
    </row>
    <row r="2" spans="1:5" ht="47.25" x14ac:dyDescent="0.25">
      <c r="A2" s="4">
        <f>ROW()-1</f>
        <v>1</v>
      </c>
      <c r="B2" s="5" t="s">
        <v>5</v>
      </c>
      <c r="C2" s="5" t="s">
        <v>6</v>
      </c>
      <c r="D2" s="4">
        <v>1</v>
      </c>
      <c r="E2" s="4">
        <v>3</v>
      </c>
    </row>
    <row r="3" spans="1:5" x14ac:dyDescent="0.25">
      <c r="A3" s="4">
        <f t="shared" ref="A3:A66" si="0">ROW()-1</f>
        <v>2</v>
      </c>
      <c r="B3" s="5" t="s">
        <v>7</v>
      </c>
      <c r="C3" s="5" t="s">
        <v>8</v>
      </c>
      <c r="D3" s="4">
        <v>1</v>
      </c>
      <c r="E3" s="4">
        <v>1</v>
      </c>
    </row>
    <row r="4" spans="1:5" ht="31.5" x14ac:dyDescent="0.25">
      <c r="A4" s="4">
        <f t="shared" si="0"/>
        <v>3</v>
      </c>
      <c r="B4" s="5" t="s">
        <v>9</v>
      </c>
      <c r="C4" s="5" t="s">
        <v>10</v>
      </c>
      <c r="D4" s="4">
        <v>1</v>
      </c>
      <c r="E4" s="4">
        <v>1</v>
      </c>
    </row>
    <row r="5" spans="1:5" ht="47.25" x14ac:dyDescent="0.25">
      <c r="A5" s="4">
        <f t="shared" si="0"/>
        <v>4</v>
      </c>
      <c r="B5" s="5" t="s">
        <v>11</v>
      </c>
      <c r="C5" s="5" t="s">
        <v>12</v>
      </c>
      <c r="D5" s="4">
        <v>1</v>
      </c>
      <c r="E5" s="4">
        <v>2</v>
      </c>
    </row>
    <row r="6" spans="1:5" x14ac:dyDescent="0.25">
      <c r="A6" s="4">
        <f t="shared" si="0"/>
        <v>5</v>
      </c>
      <c r="B6" s="5" t="s">
        <v>13</v>
      </c>
      <c r="C6" s="5" t="s">
        <v>14</v>
      </c>
      <c r="D6" s="4">
        <v>1</v>
      </c>
      <c r="E6" s="4">
        <v>1</v>
      </c>
    </row>
    <row r="7" spans="1:5" ht="31.5" x14ac:dyDescent="0.25">
      <c r="A7" s="4">
        <f t="shared" si="0"/>
        <v>6</v>
      </c>
      <c r="B7" s="5" t="s">
        <v>15</v>
      </c>
      <c r="C7" s="5" t="s">
        <v>16</v>
      </c>
      <c r="D7" s="4">
        <v>1</v>
      </c>
      <c r="E7" s="4">
        <v>2</v>
      </c>
    </row>
    <row r="8" spans="1:5" x14ac:dyDescent="0.25">
      <c r="A8" s="4">
        <f t="shared" si="0"/>
        <v>7</v>
      </c>
      <c r="B8" s="5" t="s">
        <v>17</v>
      </c>
      <c r="C8" s="5" t="s">
        <v>18</v>
      </c>
      <c r="D8" s="4">
        <v>1</v>
      </c>
      <c r="E8" s="4">
        <v>2</v>
      </c>
    </row>
    <row r="9" spans="1:5" ht="31.5" x14ac:dyDescent="0.25">
      <c r="A9" s="4">
        <f t="shared" si="0"/>
        <v>8</v>
      </c>
      <c r="B9" s="5" t="s">
        <v>1042</v>
      </c>
      <c r="C9" s="5" t="s">
        <v>19</v>
      </c>
      <c r="D9" s="4">
        <v>1</v>
      </c>
      <c r="E9" s="4">
        <v>3</v>
      </c>
    </row>
    <row r="10" spans="1:5" x14ac:dyDescent="0.25">
      <c r="A10" s="4">
        <f t="shared" si="0"/>
        <v>9</v>
      </c>
      <c r="B10" s="5" t="s">
        <v>20</v>
      </c>
      <c r="C10" s="5" t="s">
        <v>21</v>
      </c>
      <c r="D10" s="4">
        <v>1</v>
      </c>
      <c r="E10" s="4">
        <v>3</v>
      </c>
    </row>
    <row r="11" spans="1:5" x14ac:dyDescent="0.25">
      <c r="A11" s="4">
        <f t="shared" si="0"/>
        <v>10</v>
      </c>
      <c r="B11" s="5" t="s">
        <v>22</v>
      </c>
      <c r="C11" s="5" t="s">
        <v>23</v>
      </c>
      <c r="D11" s="4">
        <v>2</v>
      </c>
      <c r="E11" s="4">
        <v>2</v>
      </c>
    </row>
    <row r="12" spans="1:5" x14ac:dyDescent="0.25">
      <c r="A12" s="4">
        <f t="shared" si="0"/>
        <v>11</v>
      </c>
      <c r="B12" s="5" t="s">
        <v>24</v>
      </c>
      <c r="C12" s="5" t="s">
        <v>25</v>
      </c>
      <c r="D12" s="4">
        <v>2</v>
      </c>
      <c r="E12" s="4">
        <v>1</v>
      </c>
    </row>
    <row r="13" spans="1:5" x14ac:dyDescent="0.25">
      <c r="A13" s="4">
        <f t="shared" si="0"/>
        <v>12</v>
      </c>
      <c r="B13" s="5" t="s">
        <v>26</v>
      </c>
      <c r="C13" s="5" t="s">
        <v>27</v>
      </c>
      <c r="D13" s="4">
        <v>2</v>
      </c>
      <c r="E13" s="4">
        <v>2</v>
      </c>
    </row>
    <row r="14" spans="1:5" ht="141.75" x14ac:dyDescent="0.25">
      <c r="A14" s="4">
        <f t="shared" si="0"/>
        <v>13</v>
      </c>
      <c r="B14" s="5" t="s">
        <v>28</v>
      </c>
      <c r="C14" s="5" t="s">
        <v>29</v>
      </c>
      <c r="D14" s="4">
        <v>2</v>
      </c>
      <c r="E14" s="4">
        <v>1</v>
      </c>
    </row>
    <row r="15" spans="1:5" ht="31.5" x14ac:dyDescent="0.25">
      <c r="A15" s="4">
        <f t="shared" si="0"/>
        <v>14</v>
      </c>
      <c r="B15" s="5" t="s">
        <v>30</v>
      </c>
      <c r="C15" s="5" t="s">
        <v>31</v>
      </c>
      <c r="D15" s="4">
        <v>2</v>
      </c>
      <c r="E15" s="4">
        <v>4</v>
      </c>
    </row>
    <row r="16" spans="1:5" ht="47.25" x14ac:dyDescent="0.25">
      <c r="A16" s="4">
        <f t="shared" si="0"/>
        <v>15</v>
      </c>
      <c r="B16" s="5" t="s">
        <v>32</v>
      </c>
      <c r="C16" s="5" t="s">
        <v>33</v>
      </c>
      <c r="D16" s="4">
        <v>2</v>
      </c>
      <c r="E16" s="4">
        <v>2</v>
      </c>
    </row>
    <row r="17" spans="1:5" ht="31.5" x14ac:dyDescent="0.25">
      <c r="A17" s="4">
        <f t="shared" si="0"/>
        <v>16</v>
      </c>
      <c r="B17" s="5" t="s">
        <v>34</v>
      </c>
      <c r="C17" s="5" t="s">
        <v>35</v>
      </c>
      <c r="D17" s="4">
        <v>2</v>
      </c>
      <c r="E17" s="4">
        <v>1</v>
      </c>
    </row>
    <row r="18" spans="1:5" ht="63" x14ac:dyDescent="0.25">
      <c r="A18" s="4">
        <f t="shared" si="0"/>
        <v>17</v>
      </c>
      <c r="B18" s="5" t="s">
        <v>36</v>
      </c>
      <c r="C18" s="5" t="s">
        <v>37</v>
      </c>
      <c r="D18" s="4">
        <v>1</v>
      </c>
      <c r="E18" s="4">
        <v>2</v>
      </c>
    </row>
    <row r="19" spans="1:5" x14ac:dyDescent="0.25">
      <c r="A19" s="4">
        <f t="shared" si="0"/>
        <v>18</v>
      </c>
      <c r="B19" s="5" t="s">
        <v>38</v>
      </c>
      <c r="C19" s="5" t="s">
        <v>39</v>
      </c>
      <c r="D19" s="4">
        <v>1</v>
      </c>
      <c r="E19" s="4">
        <v>1</v>
      </c>
    </row>
    <row r="20" spans="1:5" ht="31.5" x14ac:dyDescent="0.25">
      <c r="A20" s="4">
        <f t="shared" si="0"/>
        <v>19</v>
      </c>
      <c r="B20" s="5" t="s">
        <v>40</v>
      </c>
      <c r="C20" s="5" t="s">
        <v>41</v>
      </c>
      <c r="D20" s="4">
        <v>1</v>
      </c>
      <c r="E20" s="4">
        <v>1</v>
      </c>
    </row>
    <row r="21" spans="1:5" x14ac:dyDescent="0.25">
      <c r="A21" s="4">
        <f t="shared" si="0"/>
        <v>20</v>
      </c>
      <c r="B21" s="5" t="s">
        <v>42</v>
      </c>
      <c r="C21" s="5" t="s">
        <v>43</v>
      </c>
      <c r="D21" s="4">
        <v>1</v>
      </c>
      <c r="E21" s="4">
        <v>1</v>
      </c>
    </row>
    <row r="22" spans="1:5" x14ac:dyDescent="0.25">
      <c r="A22" s="4">
        <f t="shared" si="0"/>
        <v>21</v>
      </c>
      <c r="B22" s="5" t="s">
        <v>44</v>
      </c>
      <c r="C22" s="5" t="s">
        <v>45</v>
      </c>
      <c r="D22" s="4">
        <v>1</v>
      </c>
      <c r="E22" s="4">
        <v>1</v>
      </c>
    </row>
    <row r="23" spans="1:5" ht="63" x14ac:dyDescent="0.25">
      <c r="A23" s="4">
        <f t="shared" si="0"/>
        <v>22</v>
      </c>
      <c r="B23" s="5" t="s">
        <v>46</v>
      </c>
      <c r="C23" s="5" t="s">
        <v>47</v>
      </c>
      <c r="D23" s="4">
        <v>1</v>
      </c>
      <c r="E23" s="4">
        <v>3</v>
      </c>
    </row>
    <row r="24" spans="1:5" ht="78.75" x14ac:dyDescent="0.25">
      <c r="A24" s="4">
        <f t="shared" si="0"/>
        <v>23</v>
      </c>
      <c r="B24" s="5" t="s">
        <v>48</v>
      </c>
      <c r="C24" s="5" t="s">
        <v>49</v>
      </c>
      <c r="D24" s="4">
        <v>1</v>
      </c>
      <c r="E24" s="4">
        <v>3</v>
      </c>
    </row>
    <row r="25" spans="1:5" x14ac:dyDescent="0.25">
      <c r="A25" s="4">
        <f t="shared" si="0"/>
        <v>24</v>
      </c>
      <c r="B25" s="5" t="s">
        <v>50</v>
      </c>
      <c r="C25" s="5" t="s">
        <v>51</v>
      </c>
      <c r="D25" s="4">
        <v>1</v>
      </c>
      <c r="E25" s="4">
        <v>4</v>
      </c>
    </row>
    <row r="26" spans="1:5" x14ac:dyDescent="0.25">
      <c r="A26" s="4">
        <f t="shared" si="0"/>
        <v>25</v>
      </c>
      <c r="B26" s="5" t="s">
        <v>52</v>
      </c>
      <c r="C26" s="5" t="s">
        <v>51</v>
      </c>
      <c r="D26" s="4">
        <v>1</v>
      </c>
      <c r="E26" s="4">
        <v>4</v>
      </c>
    </row>
    <row r="27" spans="1:5" ht="47.25" x14ac:dyDescent="0.25">
      <c r="A27" s="4">
        <f t="shared" si="0"/>
        <v>26</v>
      </c>
      <c r="B27" s="5" t="s">
        <v>53</v>
      </c>
      <c r="C27" s="5" t="s">
        <v>54</v>
      </c>
      <c r="D27" s="4">
        <v>1</v>
      </c>
      <c r="E27" s="4">
        <v>2</v>
      </c>
    </row>
    <row r="28" spans="1:5" ht="78.75" x14ac:dyDescent="0.25">
      <c r="A28" s="4">
        <f t="shared" si="0"/>
        <v>27</v>
      </c>
      <c r="B28" s="5" t="s">
        <v>55</v>
      </c>
      <c r="C28" s="5" t="s">
        <v>56</v>
      </c>
      <c r="D28" s="4">
        <v>1</v>
      </c>
      <c r="E28" s="4">
        <v>3</v>
      </c>
    </row>
    <row r="29" spans="1:5" ht="31.5" x14ac:dyDescent="0.25">
      <c r="A29" s="4">
        <f t="shared" si="0"/>
        <v>28</v>
      </c>
      <c r="B29" s="5" t="s">
        <v>57</v>
      </c>
      <c r="C29" s="5" t="s">
        <v>58</v>
      </c>
      <c r="D29" s="4">
        <v>2</v>
      </c>
      <c r="E29" s="4">
        <v>1</v>
      </c>
    </row>
    <row r="30" spans="1:5" x14ac:dyDescent="0.25">
      <c r="A30" s="4">
        <f t="shared" si="0"/>
        <v>29</v>
      </c>
      <c r="B30" s="5" t="s">
        <v>59</v>
      </c>
      <c r="C30" s="5" t="s">
        <v>60</v>
      </c>
      <c r="D30" s="4">
        <v>2</v>
      </c>
      <c r="E30" s="4">
        <v>4</v>
      </c>
    </row>
    <row r="31" spans="1:5" ht="63" x14ac:dyDescent="0.25">
      <c r="A31" s="4">
        <f t="shared" si="0"/>
        <v>30</v>
      </c>
      <c r="B31" s="5" t="s">
        <v>61</v>
      </c>
      <c r="C31" s="5" t="s">
        <v>62</v>
      </c>
      <c r="D31" s="4">
        <v>1</v>
      </c>
      <c r="E31" s="4">
        <v>4</v>
      </c>
    </row>
    <row r="32" spans="1:5" ht="63" x14ac:dyDescent="0.25">
      <c r="A32" s="4">
        <f t="shared" si="0"/>
        <v>31</v>
      </c>
      <c r="B32" s="5" t="s">
        <v>63</v>
      </c>
      <c r="C32" s="5" t="s">
        <v>64</v>
      </c>
      <c r="D32" s="4">
        <v>1</v>
      </c>
      <c r="E32" s="4">
        <v>4</v>
      </c>
    </row>
    <row r="33" spans="1:5" x14ac:dyDescent="0.25">
      <c r="A33" s="4">
        <f t="shared" si="0"/>
        <v>32</v>
      </c>
      <c r="B33" s="5" t="s">
        <v>65</v>
      </c>
      <c r="C33" s="5" t="s">
        <v>66</v>
      </c>
      <c r="D33" s="4">
        <v>2</v>
      </c>
      <c r="E33" s="4">
        <v>4</v>
      </c>
    </row>
    <row r="34" spans="1:5" x14ac:dyDescent="0.25">
      <c r="A34" s="4">
        <f t="shared" si="0"/>
        <v>33</v>
      </c>
      <c r="B34" s="5" t="s">
        <v>67</v>
      </c>
      <c r="C34" s="5" t="s">
        <v>68</v>
      </c>
      <c r="D34" s="4">
        <v>1</v>
      </c>
      <c r="E34" s="4">
        <v>1</v>
      </c>
    </row>
    <row r="35" spans="1:5" x14ac:dyDescent="0.25">
      <c r="A35" s="4">
        <f t="shared" si="0"/>
        <v>34</v>
      </c>
      <c r="B35" s="5" t="s">
        <v>67</v>
      </c>
      <c r="C35" s="5" t="s">
        <v>69</v>
      </c>
      <c r="D35" s="4">
        <v>3</v>
      </c>
      <c r="E35" s="4">
        <v>1</v>
      </c>
    </row>
    <row r="36" spans="1:5" x14ac:dyDescent="0.25">
      <c r="A36" s="4">
        <f t="shared" si="0"/>
        <v>35</v>
      </c>
      <c r="B36" s="5" t="s">
        <v>70</v>
      </c>
      <c r="C36" s="5" t="s">
        <v>51</v>
      </c>
      <c r="D36" s="4">
        <v>1</v>
      </c>
      <c r="E36" s="4">
        <v>1</v>
      </c>
    </row>
    <row r="37" spans="1:5" x14ac:dyDescent="0.25">
      <c r="A37" s="4">
        <f t="shared" si="0"/>
        <v>36</v>
      </c>
      <c r="B37" s="5" t="s">
        <v>71</v>
      </c>
      <c r="C37" s="5" t="s">
        <v>72</v>
      </c>
      <c r="D37" s="4">
        <v>1</v>
      </c>
      <c r="E37" s="4">
        <v>1</v>
      </c>
    </row>
    <row r="38" spans="1:5" ht="31.5" x14ac:dyDescent="0.25">
      <c r="A38" s="4">
        <f t="shared" si="0"/>
        <v>37</v>
      </c>
      <c r="B38" s="5" t="s">
        <v>73</v>
      </c>
      <c r="C38" s="5" t="s">
        <v>74</v>
      </c>
      <c r="D38" s="4">
        <v>1</v>
      </c>
      <c r="E38" s="4">
        <v>1</v>
      </c>
    </row>
    <row r="39" spans="1:5" ht="31.5" x14ac:dyDescent="0.25">
      <c r="A39" s="4">
        <f t="shared" si="0"/>
        <v>38</v>
      </c>
      <c r="B39" s="5" t="s">
        <v>73</v>
      </c>
      <c r="C39" s="5" t="s">
        <v>75</v>
      </c>
      <c r="D39" s="4">
        <v>3</v>
      </c>
      <c r="E39" s="4">
        <v>4</v>
      </c>
    </row>
    <row r="40" spans="1:5" x14ac:dyDescent="0.25">
      <c r="A40" s="4">
        <f t="shared" si="0"/>
        <v>39</v>
      </c>
      <c r="B40" s="5" t="s">
        <v>76</v>
      </c>
      <c r="C40" s="5" t="s">
        <v>51</v>
      </c>
      <c r="D40" s="4">
        <v>1</v>
      </c>
      <c r="E40" s="4">
        <v>4</v>
      </c>
    </row>
    <row r="41" spans="1:5" x14ac:dyDescent="0.25">
      <c r="A41" s="4">
        <f t="shared" si="0"/>
        <v>40</v>
      </c>
      <c r="B41" s="5" t="s">
        <v>77</v>
      </c>
      <c r="C41" s="5" t="s">
        <v>51</v>
      </c>
      <c r="D41" s="4">
        <v>1</v>
      </c>
      <c r="E41" s="4">
        <v>4</v>
      </c>
    </row>
    <row r="42" spans="1:5" x14ac:dyDescent="0.25">
      <c r="A42" s="4">
        <f t="shared" si="0"/>
        <v>41</v>
      </c>
      <c r="B42" s="5" t="s">
        <v>78</v>
      </c>
      <c r="C42" s="5" t="s">
        <v>51</v>
      </c>
      <c r="D42" s="4">
        <v>1</v>
      </c>
      <c r="E42" s="4">
        <v>4</v>
      </c>
    </row>
    <row r="43" spans="1:5" x14ac:dyDescent="0.25">
      <c r="A43" s="4">
        <f t="shared" si="0"/>
        <v>42</v>
      </c>
      <c r="B43" s="5" t="s">
        <v>79</v>
      </c>
      <c r="C43" s="5" t="s">
        <v>80</v>
      </c>
      <c r="D43" s="4">
        <v>2</v>
      </c>
      <c r="E43" s="4">
        <v>1</v>
      </c>
    </row>
    <row r="44" spans="1:5" x14ac:dyDescent="0.25">
      <c r="A44" s="4">
        <f t="shared" si="0"/>
        <v>43</v>
      </c>
      <c r="B44" s="5" t="s">
        <v>81</v>
      </c>
      <c r="C44" s="5" t="s">
        <v>51</v>
      </c>
      <c r="D44" s="4">
        <v>2</v>
      </c>
      <c r="E44" s="4">
        <v>4</v>
      </c>
    </row>
    <row r="45" spans="1:5" ht="362.25" x14ac:dyDescent="0.25">
      <c r="A45" s="4">
        <f t="shared" si="0"/>
        <v>44</v>
      </c>
      <c r="B45" s="5" t="s">
        <v>82</v>
      </c>
      <c r="C45" s="5" t="s">
        <v>83</v>
      </c>
      <c r="D45" s="4">
        <v>2</v>
      </c>
      <c r="E45" s="4">
        <v>4</v>
      </c>
    </row>
    <row r="46" spans="1:5" ht="126" x14ac:dyDescent="0.25">
      <c r="A46" s="4">
        <f t="shared" si="0"/>
        <v>45</v>
      </c>
      <c r="B46" s="5" t="s">
        <v>84</v>
      </c>
      <c r="C46" s="5" t="s">
        <v>85</v>
      </c>
      <c r="D46" s="4">
        <v>1</v>
      </c>
      <c r="E46" s="4">
        <v>4</v>
      </c>
    </row>
    <row r="47" spans="1:5" ht="47.25" x14ac:dyDescent="0.25">
      <c r="A47" s="4">
        <f t="shared" si="0"/>
        <v>46</v>
      </c>
      <c r="B47" s="5" t="s">
        <v>84</v>
      </c>
      <c r="C47" s="5" t="s">
        <v>86</v>
      </c>
      <c r="D47" s="4">
        <v>5</v>
      </c>
      <c r="E47" s="4"/>
    </row>
    <row r="48" spans="1:5" x14ac:dyDescent="0.25">
      <c r="A48" s="4">
        <f t="shared" si="0"/>
        <v>47</v>
      </c>
      <c r="B48" s="5" t="s">
        <v>87</v>
      </c>
      <c r="C48" s="5" t="s">
        <v>51</v>
      </c>
      <c r="D48" s="4">
        <v>1</v>
      </c>
      <c r="E48" s="4">
        <v>4</v>
      </c>
    </row>
    <row r="49" spans="1:5" ht="47.25" x14ac:dyDescent="0.25">
      <c r="A49" s="4">
        <f t="shared" si="0"/>
        <v>48</v>
      </c>
      <c r="B49" s="5" t="s">
        <v>1043</v>
      </c>
      <c r="C49" s="5" t="s">
        <v>1044</v>
      </c>
      <c r="D49" s="4">
        <v>1</v>
      </c>
      <c r="E49" s="4">
        <v>3</v>
      </c>
    </row>
    <row r="50" spans="1:5" x14ac:dyDescent="0.25">
      <c r="A50" s="4">
        <f t="shared" si="0"/>
        <v>49</v>
      </c>
      <c r="B50" s="5" t="s">
        <v>88</v>
      </c>
      <c r="C50" s="5" t="s">
        <v>89</v>
      </c>
      <c r="D50" s="4">
        <v>2</v>
      </c>
      <c r="E50" s="4">
        <v>2</v>
      </c>
    </row>
    <row r="51" spans="1:5" ht="47.25" x14ac:dyDescent="0.25">
      <c r="A51" s="4">
        <f t="shared" si="0"/>
        <v>50</v>
      </c>
      <c r="B51" s="5" t="s">
        <v>90</v>
      </c>
      <c r="C51" s="5" t="s">
        <v>91</v>
      </c>
      <c r="D51" s="4">
        <v>1</v>
      </c>
      <c r="E51" s="4">
        <v>3</v>
      </c>
    </row>
    <row r="52" spans="1:5" x14ac:dyDescent="0.25">
      <c r="A52" s="4">
        <f t="shared" si="0"/>
        <v>51</v>
      </c>
      <c r="B52" s="5" t="s">
        <v>92</v>
      </c>
      <c r="C52" s="5" t="s">
        <v>51</v>
      </c>
      <c r="D52" s="4">
        <v>1</v>
      </c>
      <c r="E52" s="4">
        <v>4</v>
      </c>
    </row>
    <row r="53" spans="1:5" ht="267.75" x14ac:dyDescent="0.25">
      <c r="A53" s="4">
        <f t="shared" si="0"/>
        <v>52</v>
      </c>
      <c r="B53" s="5" t="s">
        <v>93</v>
      </c>
      <c r="C53" s="5" t="s">
        <v>94</v>
      </c>
      <c r="D53" s="4">
        <v>1</v>
      </c>
      <c r="E53" s="4">
        <v>3</v>
      </c>
    </row>
    <row r="54" spans="1:5" ht="47.25" x14ac:dyDescent="0.25">
      <c r="A54" s="4">
        <f t="shared" si="0"/>
        <v>53</v>
      </c>
      <c r="B54" s="5" t="s">
        <v>95</v>
      </c>
      <c r="C54" s="5" t="s">
        <v>96</v>
      </c>
      <c r="D54" s="4">
        <v>1</v>
      </c>
      <c r="E54" s="4">
        <v>3</v>
      </c>
    </row>
    <row r="55" spans="1:5" x14ac:dyDescent="0.25">
      <c r="A55" s="4">
        <f t="shared" si="0"/>
        <v>54</v>
      </c>
      <c r="B55" s="5" t="s">
        <v>97</v>
      </c>
      <c r="C55" s="5" t="s">
        <v>98</v>
      </c>
      <c r="D55" s="4">
        <v>1</v>
      </c>
      <c r="E55" s="4">
        <v>2</v>
      </c>
    </row>
    <row r="56" spans="1:5" ht="47.25" x14ac:dyDescent="0.25">
      <c r="A56" s="4">
        <f t="shared" si="0"/>
        <v>55</v>
      </c>
      <c r="B56" s="5" t="s">
        <v>99</v>
      </c>
      <c r="C56" s="5" t="s">
        <v>100</v>
      </c>
      <c r="D56" s="4">
        <v>1</v>
      </c>
      <c r="E56" s="4">
        <v>3</v>
      </c>
    </row>
    <row r="57" spans="1:5" x14ac:dyDescent="0.25">
      <c r="A57" s="4">
        <f t="shared" si="0"/>
        <v>56</v>
      </c>
      <c r="B57" s="5" t="s">
        <v>101</v>
      </c>
      <c r="C57" s="5" t="s">
        <v>51</v>
      </c>
      <c r="D57" s="4">
        <v>2</v>
      </c>
      <c r="E57" s="4">
        <v>4</v>
      </c>
    </row>
    <row r="58" spans="1:5" x14ac:dyDescent="0.25">
      <c r="A58" s="4">
        <f t="shared" si="0"/>
        <v>57</v>
      </c>
      <c r="B58" s="5" t="s">
        <v>102</v>
      </c>
      <c r="C58" s="5" t="s">
        <v>103</v>
      </c>
      <c r="D58" s="4">
        <v>2</v>
      </c>
      <c r="E58" s="4">
        <v>4</v>
      </c>
    </row>
    <row r="59" spans="1:5" ht="31.5" x14ac:dyDescent="0.25">
      <c r="A59" s="4">
        <f t="shared" si="0"/>
        <v>58</v>
      </c>
      <c r="B59" s="5" t="s">
        <v>104</v>
      </c>
      <c r="C59" s="5" t="s">
        <v>105</v>
      </c>
      <c r="D59" s="4">
        <v>2</v>
      </c>
      <c r="E59" s="4">
        <v>1</v>
      </c>
    </row>
    <row r="60" spans="1:5" x14ac:dyDescent="0.25">
      <c r="A60" s="4">
        <f t="shared" si="0"/>
        <v>59</v>
      </c>
      <c r="B60" s="5" t="s">
        <v>106</v>
      </c>
      <c r="C60" s="5" t="s">
        <v>51</v>
      </c>
      <c r="D60" s="4">
        <v>2</v>
      </c>
      <c r="E60" s="4">
        <v>4</v>
      </c>
    </row>
    <row r="61" spans="1:5" ht="409.5" x14ac:dyDescent="0.25">
      <c r="A61" s="4">
        <f t="shared" si="0"/>
        <v>60</v>
      </c>
      <c r="B61" s="5" t="s">
        <v>107</v>
      </c>
      <c r="C61" s="5" t="s">
        <v>108</v>
      </c>
      <c r="D61" s="4">
        <v>1</v>
      </c>
      <c r="E61" s="4">
        <v>4</v>
      </c>
    </row>
    <row r="62" spans="1:5" ht="110.25" x14ac:dyDescent="0.25">
      <c r="A62" s="4">
        <f t="shared" si="0"/>
        <v>61</v>
      </c>
      <c r="B62" s="5" t="s">
        <v>109</v>
      </c>
      <c r="C62" s="5" t="s">
        <v>110</v>
      </c>
      <c r="D62" s="4">
        <v>1</v>
      </c>
      <c r="E62" s="4">
        <v>4</v>
      </c>
    </row>
    <row r="63" spans="1:5" ht="47.25" x14ac:dyDescent="0.25">
      <c r="A63" s="4">
        <f t="shared" si="0"/>
        <v>62</v>
      </c>
      <c r="B63" s="5" t="s">
        <v>111</v>
      </c>
      <c r="C63" s="5" t="s">
        <v>112</v>
      </c>
      <c r="D63" s="4">
        <v>5</v>
      </c>
      <c r="E63" s="4"/>
    </row>
    <row r="64" spans="1:5" x14ac:dyDescent="0.25">
      <c r="A64" s="4">
        <f t="shared" si="0"/>
        <v>63</v>
      </c>
      <c r="B64" s="5" t="s">
        <v>113</v>
      </c>
      <c r="C64" s="5" t="s">
        <v>114</v>
      </c>
      <c r="D64" s="4">
        <v>3</v>
      </c>
      <c r="E64" s="4">
        <v>2</v>
      </c>
    </row>
    <row r="65" spans="1:5" x14ac:dyDescent="0.25">
      <c r="A65" s="4">
        <f t="shared" si="0"/>
        <v>64</v>
      </c>
      <c r="B65" s="5" t="s">
        <v>115</v>
      </c>
      <c r="C65" s="5" t="s">
        <v>116</v>
      </c>
      <c r="D65" s="4">
        <v>3</v>
      </c>
      <c r="E65" s="4">
        <v>1</v>
      </c>
    </row>
    <row r="66" spans="1:5" ht="409.5" x14ac:dyDescent="0.25">
      <c r="A66" s="4">
        <f t="shared" si="0"/>
        <v>65</v>
      </c>
      <c r="B66" s="5" t="s">
        <v>117</v>
      </c>
      <c r="C66" s="5" t="s">
        <v>118</v>
      </c>
      <c r="D66" s="4">
        <v>3</v>
      </c>
      <c r="E66" s="4">
        <v>2</v>
      </c>
    </row>
    <row r="67" spans="1:5" x14ac:dyDescent="0.25">
      <c r="A67" s="4">
        <f t="shared" ref="A67:A131" si="1">ROW()-1</f>
        <v>66</v>
      </c>
      <c r="B67" s="5" t="s">
        <v>119</v>
      </c>
      <c r="C67" s="5" t="s">
        <v>120</v>
      </c>
      <c r="D67" s="4">
        <v>3</v>
      </c>
      <c r="E67" s="4">
        <v>1</v>
      </c>
    </row>
    <row r="68" spans="1:5" ht="47.25" x14ac:dyDescent="0.25">
      <c r="A68" s="4">
        <f t="shared" si="1"/>
        <v>67</v>
      </c>
      <c r="B68" s="5" t="s">
        <v>121</v>
      </c>
      <c r="C68" s="5" t="s">
        <v>122</v>
      </c>
      <c r="D68" s="4">
        <v>1</v>
      </c>
      <c r="E68" s="4">
        <v>1</v>
      </c>
    </row>
    <row r="69" spans="1:5" x14ac:dyDescent="0.25">
      <c r="A69" s="4">
        <f t="shared" si="1"/>
        <v>68</v>
      </c>
      <c r="B69" s="5" t="s">
        <v>123</v>
      </c>
      <c r="C69" s="5" t="s">
        <v>124</v>
      </c>
      <c r="D69" s="4">
        <v>1</v>
      </c>
      <c r="E69" s="4">
        <v>2</v>
      </c>
    </row>
    <row r="70" spans="1:5" x14ac:dyDescent="0.25">
      <c r="A70" s="4">
        <f t="shared" si="1"/>
        <v>69</v>
      </c>
      <c r="B70" s="5" t="s">
        <v>125</v>
      </c>
      <c r="C70" s="5" t="s">
        <v>126</v>
      </c>
      <c r="D70" s="4">
        <v>3</v>
      </c>
      <c r="E70" s="4">
        <v>2</v>
      </c>
    </row>
    <row r="71" spans="1:5" ht="31.5" x14ac:dyDescent="0.25">
      <c r="A71" s="4">
        <f t="shared" si="1"/>
        <v>70</v>
      </c>
      <c r="B71" s="5" t="s">
        <v>127</v>
      </c>
      <c r="C71" s="5" t="s">
        <v>128</v>
      </c>
      <c r="D71" s="4">
        <v>3</v>
      </c>
      <c r="E71" s="4"/>
    </row>
    <row r="72" spans="1:5" ht="110.25" x14ac:dyDescent="0.25">
      <c r="A72" s="4">
        <f t="shared" si="1"/>
        <v>71</v>
      </c>
      <c r="B72" s="5" t="s">
        <v>129</v>
      </c>
      <c r="C72" s="5" t="s">
        <v>130</v>
      </c>
      <c r="D72" s="4">
        <v>3</v>
      </c>
      <c r="E72" s="4"/>
    </row>
    <row r="73" spans="1:5" x14ac:dyDescent="0.25">
      <c r="A73" s="4">
        <f t="shared" si="1"/>
        <v>72</v>
      </c>
      <c r="B73" s="5" t="s">
        <v>131</v>
      </c>
      <c r="C73" s="5" t="s">
        <v>132</v>
      </c>
      <c r="D73" s="4">
        <v>5</v>
      </c>
      <c r="E73" s="4"/>
    </row>
    <row r="74" spans="1:5" ht="63" x14ac:dyDescent="0.25">
      <c r="A74" s="4">
        <f t="shared" si="1"/>
        <v>73</v>
      </c>
      <c r="B74" s="5" t="s">
        <v>133</v>
      </c>
      <c r="C74" s="5" t="s">
        <v>134</v>
      </c>
      <c r="D74" s="4">
        <v>5</v>
      </c>
      <c r="E74" s="4"/>
    </row>
    <row r="75" spans="1:5" ht="78.75" x14ac:dyDescent="0.25">
      <c r="A75" s="4">
        <f t="shared" si="1"/>
        <v>74</v>
      </c>
      <c r="B75" s="5" t="s">
        <v>135</v>
      </c>
      <c r="C75" s="5" t="s">
        <v>136</v>
      </c>
      <c r="D75" s="4">
        <v>5</v>
      </c>
      <c r="E75" s="4"/>
    </row>
    <row r="76" spans="1:5" ht="189" x14ac:dyDescent="0.25">
      <c r="A76" s="4">
        <f t="shared" si="1"/>
        <v>75</v>
      </c>
      <c r="B76" s="5" t="s">
        <v>137</v>
      </c>
      <c r="C76" s="5" t="s">
        <v>138</v>
      </c>
      <c r="D76" s="4">
        <v>1</v>
      </c>
      <c r="E76" s="4">
        <v>2</v>
      </c>
    </row>
    <row r="77" spans="1:5" ht="94.5" x14ac:dyDescent="0.25">
      <c r="A77" s="4">
        <f t="shared" si="1"/>
        <v>76</v>
      </c>
      <c r="B77" s="5" t="s">
        <v>139</v>
      </c>
      <c r="C77" s="5" t="s">
        <v>140</v>
      </c>
      <c r="D77" s="4">
        <v>3</v>
      </c>
      <c r="E77" s="4"/>
    </row>
    <row r="78" spans="1:5" ht="78.75" x14ac:dyDescent="0.25">
      <c r="A78" s="4">
        <f t="shared" si="1"/>
        <v>77</v>
      </c>
      <c r="B78" s="5" t="s">
        <v>141</v>
      </c>
      <c r="C78" s="5" t="s">
        <v>142</v>
      </c>
      <c r="D78" s="4">
        <v>3</v>
      </c>
      <c r="E78" s="4"/>
    </row>
    <row r="79" spans="1:5" x14ac:dyDescent="0.25">
      <c r="A79" s="4">
        <f t="shared" si="1"/>
        <v>78</v>
      </c>
      <c r="B79" s="5" t="s">
        <v>143</v>
      </c>
      <c r="C79" s="5" t="s">
        <v>144</v>
      </c>
      <c r="D79" s="4">
        <v>3</v>
      </c>
      <c r="E79" s="4"/>
    </row>
    <row r="80" spans="1:5" x14ac:dyDescent="0.25">
      <c r="A80" s="4">
        <f t="shared" si="1"/>
        <v>79</v>
      </c>
      <c r="B80" s="5" t="s">
        <v>145</v>
      </c>
      <c r="C80" s="5" t="s">
        <v>51</v>
      </c>
      <c r="D80" s="4">
        <v>5</v>
      </c>
      <c r="E80" s="4"/>
    </row>
    <row r="81" spans="1:5" ht="94.5" x14ac:dyDescent="0.25">
      <c r="A81" s="4">
        <f t="shared" si="1"/>
        <v>80</v>
      </c>
      <c r="B81" s="5" t="s">
        <v>146</v>
      </c>
      <c r="C81" s="5" t="s">
        <v>147</v>
      </c>
      <c r="D81" s="4">
        <v>3</v>
      </c>
      <c r="E81" s="4"/>
    </row>
    <row r="82" spans="1:5" ht="78.75" x14ac:dyDescent="0.25">
      <c r="A82" s="4">
        <f t="shared" si="1"/>
        <v>81</v>
      </c>
      <c r="B82" s="5" t="s">
        <v>148</v>
      </c>
      <c r="C82" s="5" t="s">
        <v>149</v>
      </c>
      <c r="D82" s="4">
        <v>3</v>
      </c>
      <c r="E82" s="4"/>
    </row>
    <row r="83" spans="1:5" ht="31.5" x14ac:dyDescent="0.25">
      <c r="A83" s="4">
        <f t="shared" si="1"/>
        <v>82</v>
      </c>
      <c r="B83" s="5" t="s">
        <v>150</v>
      </c>
      <c r="C83" s="5" t="s">
        <v>151</v>
      </c>
      <c r="D83" s="4">
        <v>3</v>
      </c>
      <c r="E83" s="4"/>
    </row>
    <row r="84" spans="1:5" ht="31.5" x14ac:dyDescent="0.25">
      <c r="A84" s="4">
        <f t="shared" si="1"/>
        <v>83</v>
      </c>
      <c r="B84" s="5" t="s">
        <v>152</v>
      </c>
      <c r="C84" s="5" t="s">
        <v>153</v>
      </c>
      <c r="D84" s="4">
        <v>3</v>
      </c>
      <c r="E84" s="4"/>
    </row>
    <row r="85" spans="1:5" x14ac:dyDescent="0.25">
      <c r="A85" s="4">
        <f t="shared" si="1"/>
        <v>84</v>
      </c>
      <c r="B85" s="5" t="s">
        <v>154</v>
      </c>
      <c r="C85" s="5" t="s">
        <v>51</v>
      </c>
      <c r="D85" s="4">
        <v>3</v>
      </c>
      <c r="E85" s="4"/>
    </row>
    <row r="86" spans="1:5" x14ac:dyDescent="0.25">
      <c r="A86" s="4">
        <f t="shared" si="1"/>
        <v>85</v>
      </c>
      <c r="B86" s="5" t="s">
        <v>155</v>
      </c>
      <c r="C86" s="5" t="s">
        <v>156</v>
      </c>
      <c r="D86" s="4">
        <v>3</v>
      </c>
      <c r="E86" s="4"/>
    </row>
    <row r="87" spans="1:5" ht="31.5" x14ac:dyDescent="0.25">
      <c r="A87" s="4">
        <f t="shared" si="1"/>
        <v>86</v>
      </c>
      <c r="B87" s="5" t="s">
        <v>157</v>
      </c>
      <c r="C87" s="5" t="s">
        <v>158</v>
      </c>
      <c r="D87" s="4">
        <v>3</v>
      </c>
      <c r="E87" s="4"/>
    </row>
    <row r="88" spans="1:5" ht="141.75" x14ac:dyDescent="0.25">
      <c r="A88" s="4">
        <f t="shared" si="1"/>
        <v>87</v>
      </c>
      <c r="B88" s="5" t="s">
        <v>159</v>
      </c>
      <c r="C88" s="5" t="s">
        <v>160</v>
      </c>
      <c r="D88" s="4">
        <v>3</v>
      </c>
      <c r="E88" s="4"/>
    </row>
    <row r="89" spans="1:5" ht="283.5" x14ac:dyDescent="0.25">
      <c r="A89" s="4">
        <f t="shared" si="1"/>
        <v>88</v>
      </c>
      <c r="B89" s="5" t="s">
        <v>161</v>
      </c>
      <c r="C89" s="5" t="s">
        <v>162</v>
      </c>
      <c r="D89" s="4">
        <v>5</v>
      </c>
      <c r="E89" s="4"/>
    </row>
    <row r="90" spans="1:5" ht="110.25" x14ac:dyDescent="0.25">
      <c r="A90" s="4">
        <f t="shared" si="1"/>
        <v>89</v>
      </c>
      <c r="B90" s="5" t="s">
        <v>163</v>
      </c>
      <c r="C90" s="5" t="s">
        <v>164</v>
      </c>
      <c r="D90" s="4">
        <v>3</v>
      </c>
      <c r="E90" s="4"/>
    </row>
    <row r="91" spans="1:5" x14ac:dyDescent="0.25">
      <c r="A91" s="4">
        <f t="shared" si="1"/>
        <v>90</v>
      </c>
      <c r="B91" s="5" t="s">
        <v>165</v>
      </c>
      <c r="C91" s="5" t="s">
        <v>166</v>
      </c>
      <c r="D91" s="4">
        <v>3</v>
      </c>
      <c r="E91" s="4"/>
    </row>
    <row r="92" spans="1:5" x14ac:dyDescent="0.25">
      <c r="A92" s="4">
        <f t="shared" si="1"/>
        <v>91</v>
      </c>
      <c r="B92" s="5" t="s">
        <v>167</v>
      </c>
      <c r="C92" s="5" t="s">
        <v>168</v>
      </c>
      <c r="D92" s="4">
        <v>5</v>
      </c>
      <c r="E92" s="4"/>
    </row>
    <row r="93" spans="1:5" ht="78.75" x14ac:dyDescent="0.25">
      <c r="A93" s="4">
        <f t="shared" si="1"/>
        <v>92</v>
      </c>
      <c r="B93" s="5" t="s">
        <v>169</v>
      </c>
      <c r="C93" s="5" t="s">
        <v>170</v>
      </c>
      <c r="D93" s="4">
        <v>3</v>
      </c>
      <c r="E93" s="4"/>
    </row>
    <row r="94" spans="1:5" ht="94.5" x14ac:dyDescent="0.25">
      <c r="A94" s="4">
        <f t="shared" si="1"/>
        <v>93</v>
      </c>
      <c r="B94" s="5" t="s">
        <v>171</v>
      </c>
      <c r="C94" s="5" t="s">
        <v>172</v>
      </c>
      <c r="D94" s="4">
        <v>3</v>
      </c>
      <c r="E94" s="4"/>
    </row>
    <row r="95" spans="1:5" x14ac:dyDescent="0.25">
      <c r="A95" s="4">
        <f t="shared" si="1"/>
        <v>94</v>
      </c>
      <c r="B95" s="5" t="s">
        <v>173</v>
      </c>
      <c r="C95" s="5" t="s">
        <v>174</v>
      </c>
      <c r="D95" s="4">
        <v>3</v>
      </c>
      <c r="E95" s="4"/>
    </row>
    <row r="96" spans="1:5" x14ac:dyDescent="0.25">
      <c r="A96" s="4">
        <f t="shared" si="1"/>
        <v>95</v>
      </c>
      <c r="B96" s="5" t="s">
        <v>175</v>
      </c>
      <c r="C96" s="5" t="s">
        <v>176</v>
      </c>
      <c r="D96" s="4">
        <v>3</v>
      </c>
      <c r="E96" s="4"/>
    </row>
    <row r="97" spans="1:5" ht="31.5" x14ac:dyDescent="0.25">
      <c r="A97" s="4">
        <f t="shared" si="1"/>
        <v>96</v>
      </c>
      <c r="B97" s="5" t="s">
        <v>177</v>
      </c>
      <c r="C97" s="5" t="s">
        <v>178</v>
      </c>
      <c r="D97" s="4">
        <v>3</v>
      </c>
      <c r="E97" s="4"/>
    </row>
    <row r="98" spans="1:5" x14ac:dyDescent="0.25">
      <c r="A98" s="4">
        <f t="shared" si="1"/>
        <v>97</v>
      </c>
      <c r="B98" s="5" t="s">
        <v>179</v>
      </c>
      <c r="C98" s="5" t="s">
        <v>180</v>
      </c>
      <c r="D98" s="4">
        <v>5</v>
      </c>
      <c r="E98" s="4"/>
    </row>
    <row r="99" spans="1:5" x14ac:dyDescent="0.25">
      <c r="A99" s="4">
        <f t="shared" si="1"/>
        <v>98</v>
      </c>
      <c r="B99" s="5" t="s">
        <v>181</v>
      </c>
      <c r="C99" s="5" t="s">
        <v>182</v>
      </c>
      <c r="D99" s="4">
        <v>3</v>
      </c>
      <c r="E99" s="4"/>
    </row>
    <row r="100" spans="1:5" x14ac:dyDescent="0.25">
      <c r="A100" s="4">
        <f t="shared" si="1"/>
        <v>99</v>
      </c>
      <c r="B100" s="5" t="s">
        <v>183</v>
      </c>
      <c r="C100" s="5" t="s">
        <v>184</v>
      </c>
      <c r="D100" s="4">
        <v>3</v>
      </c>
      <c r="E100" s="4"/>
    </row>
    <row r="101" spans="1:5" x14ac:dyDescent="0.25">
      <c r="A101" s="4">
        <f t="shared" si="1"/>
        <v>100</v>
      </c>
      <c r="B101" s="5" t="s">
        <v>185</v>
      </c>
      <c r="C101" s="5" t="s">
        <v>186</v>
      </c>
      <c r="D101" s="4">
        <v>3</v>
      </c>
      <c r="E101" s="4"/>
    </row>
    <row r="102" spans="1:5" x14ac:dyDescent="0.25">
      <c r="A102" s="4">
        <f t="shared" si="1"/>
        <v>101</v>
      </c>
      <c r="B102" s="5" t="s">
        <v>90</v>
      </c>
      <c r="C102" s="5" t="s">
        <v>187</v>
      </c>
      <c r="D102" s="4">
        <v>5</v>
      </c>
      <c r="E102" s="4"/>
    </row>
    <row r="103" spans="1:5" x14ac:dyDescent="0.25">
      <c r="A103" s="4">
        <f t="shared" si="1"/>
        <v>102</v>
      </c>
      <c r="B103" s="5" t="s">
        <v>188</v>
      </c>
      <c r="C103" s="5" t="s">
        <v>189</v>
      </c>
      <c r="D103" s="4">
        <v>1</v>
      </c>
      <c r="E103" s="4">
        <v>2</v>
      </c>
    </row>
    <row r="104" spans="1:5" x14ac:dyDescent="0.25">
      <c r="A104" s="4">
        <f t="shared" si="1"/>
        <v>103</v>
      </c>
      <c r="B104" s="5" t="s">
        <v>190</v>
      </c>
      <c r="C104" s="5" t="s">
        <v>191</v>
      </c>
      <c r="D104" s="4">
        <v>1</v>
      </c>
      <c r="E104" s="4">
        <v>2</v>
      </c>
    </row>
    <row r="105" spans="1:5" ht="110.25" x14ac:dyDescent="0.25">
      <c r="A105" s="4">
        <f t="shared" si="1"/>
        <v>104</v>
      </c>
      <c r="B105" s="5" t="s">
        <v>192</v>
      </c>
      <c r="C105" s="5" t="s">
        <v>193</v>
      </c>
      <c r="D105" s="4">
        <v>1</v>
      </c>
      <c r="E105" s="4">
        <v>2</v>
      </c>
    </row>
    <row r="106" spans="1:5" x14ac:dyDescent="0.25">
      <c r="A106" s="4">
        <f t="shared" si="1"/>
        <v>105</v>
      </c>
      <c r="B106" s="5" t="s">
        <v>194</v>
      </c>
      <c r="C106" s="5" t="s">
        <v>195</v>
      </c>
      <c r="D106" s="4">
        <v>1</v>
      </c>
      <c r="E106" s="4">
        <v>1</v>
      </c>
    </row>
    <row r="107" spans="1:5" x14ac:dyDescent="0.25">
      <c r="A107" s="4">
        <f t="shared" si="1"/>
        <v>106</v>
      </c>
      <c r="B107" s="5" t="s">
        <v>196</v>
      </c>
      <c r="C107" s="5" t="s">
        <v>197</v>
      </c>
      <c r="D107" s="4">
        <v>1</v>
      </c>
      <c r="E107" s="4">
        <v>2</v>
      </c>
    </row>
    <row r="108" spans="1:5" x14ac:dyDescent="0.25">
      <c r="A108" s="4">
        <f t="shared" si="1"/>
        <v>107</v>
      </c>
      <c r="B108" s="5" t="s">
        <v>198</v>
      </c>
      <c r="C108" s="5" t="s">
        <v>199</v>
      </c>
      <c r="D108" s="4">
        <v>3</v>
      </c>
      <c r="E108" s="4"/>
    </row>
    <row r="109" spans="1:5" x14ac:dyDescent="0.25">
      <c r="A109" s="4">
        <f t="shared" si="1"/>
        <v>108</v>
      </c>
      <c r="B109" s="5" t="s">
        <v>200</v>
      </c>
      <c r="C109" s="5" t="s">
        <v>201</v>
      </c>
      <c r="D109" s="4">
        <v>3</v>
      </c>
      <c r="E109" s="4"/>
    </row>
    <row r="110" spans="1:5" ht="47.25" x14ac:dyDescent="0.25">
      <c r="A110" s="4">
        <f t="shared" si="1"/>
        <v>109</v>
      </c>
      <c r="B110" s="5" t="s">
        <v>202</v>
      </c>
      <c r="C110" s="5" t="s">
        <v>203</v>
      </c>
      <c r="D110" s="4">
        <v>1</v>
      </c>
      <c r="E110" s="4">
        <v>4</v>
      </c>
    </row>
    <row r="111" spans="1:5" ht="47.25" x14ac:dyDescent="0.25">
      <c r="A111" s="4">
        <f t="shared" si="1"/>
        <v>110</v>
      </c>
      <c r="B111" s="5" t="s">
        <v>204</v>
      </c>
      <c r="C111" s="5" t="s">
        <v>205</v>
      </c>
      <c r="D111" s="4">
        <v>1</v>
      </c>
      <c r="E111" s="4">
        <v>2</v>
      </c>
    </row>
    <row r="112" spans="1:5" ht="110.25" x14ac:dyDescent="0.25">
      <c r="A112" s="4">
        <f t="shared" si="1"/>
        <v>111</v>
      </c>
      <c r="B112" s="5" t="s">
        <v>206</v>
      </c>
      <c r="C112" s="5" t="s">
        <v>207</v>
      </c>
      <c r="D112" s="4">
        <v>1</v>
      </c>
      <c r="E112" s="4">
        <v>1</v>
      </c>
    </row>
    <row r="113" spans="1:5" ht="126" x14ac:dyDescent="0.25">
      <c r="A113" s="4">
        <f t="shared" si="1"/>
        <v>112</v>
      </c>
      <c r="B113" s="5" t="s">
        <v>208</v>
      </c>
      <c r="C113" s="5" t="s">
        <v>209</v>
      </c>
      <c r="D113" s="4">
        <v>3</v>
      </c>
      <c r="E113" s="4">
        <v>4</v>
      </c>
    </row>
    <row r="114" spans="1:5" x14ac:dyDescent="0.25">
      <c r="A114" s="4">
        <f>ROW()-1</f>
        <v>113</v>
      </c>
      <c r="B114" s="4" t="s">
        <v>1115</v>
      </c>
      <c r="C114" s="5" t="s">
        <v>1116</v>
      </c>
      <c r="D114" s="4">
        <v>7</v>
      </c>
      <c r="E114" s="4">
        <v>1</v>
      </c>
    </row>
    <row r="115" spans="1:5" ht="267.75" x14ac:dyDescent="0.25">
      <c r="A115" s="4">
        <f t="shared" si="1"/>
        <v>114</v>
      </c>
      <c r="B115" s="4" t="s">
        <v>1261</v>
      </c>
      <c r="C115" s="5" t="s">
        <v>210</v>
      </c>
      <c r="D115" s="4">
        <v>7</v>
      </c>
      <c r="E115" s="4">
        <v>2</v>
      </c>
    </row>
    <row r="116" spans="1:5" ht="47.25" x14ac:dyDescent="0.25">
      <c r="A116" s="4">
        <f t="shared" si="1"/>
        <v>115</v>
      </c>
      <c r="B116" s="4" t="s">
        <v>1262</v>
      </c>
      <c r="C116" s="5" t="s">
        <v>211</v>
      </c>
      <c r="D116" s="4">
        <v>7</v>
      </c>
      <c r="E116" s="4">
        <v>2</v>
      </c>
    </row>
    <row r="117" spans="1:5" ht="47.25" x14ac:dyDescent="0.25">
      <c r="A117" s="4">
        <f t="shared" si="1"/>
        <v>116</v>
      </c>
      <c r="B117" s="4" t="s">
        <v>1263</v>
      </c>
      <c r="C117" s="5" t="s">
        <v>212</v>
      </c>
      <c r="D117" s="4">
        <v>7</v>
      </c>
      <c r="E117" s="4">
        <v>2</v>
      </c>
    </row>
    <row r="118" spans="1:5" ht="63" x14ac:dyDescent="0.25">
      <c r="A118" s="4">
        <f t="shared" si="1"/>
        <v>117</v>
      </c>
      <c r="B118" s="4" t="s">
        <v>1264</v>
      </c>
      <c r="C118" s="5" t="s">
        <v>213</v>
      </c>
      <c r="D118" s="4">
        <v>7</v>
      </c>
      <c r="E118" s="4">
        <v>2</v>
      </c>
    </row>
    <row r="119" spans="1:5" ht="31.5" x14ac:dyDescent="0.25">
      <c r="A119" s="4">
        <f t="shared" si="1"/>
        <v>118</v>
      </c>
      <c r="B119" s="4" t="s">
        <v>5</v>
      </c>
      <c r="C119" s="5" t="s">
        <v>214</v>
      </c>
      <c r="D119" s="4">
        <v>7</v>
      </c>
      <c r="E119" s="4">
        <v>2</v>
      </c>
    </row>
    <row r="120" spans="1:5" ht="78.75" x14ac:dyDescent="0.25">
      <c r="A120" s="4">
        <f t="shared" si="1"/>
        <v>119</v>
      </c>
      <c r="B120" s="4" t="s">
        <v>1265</v>
      </c>
      <c r="C120" s="5" t="s">
        <v>216</v>
      </c>
      <c r="D120" s="4">
        <v>7</v>
      </c>
      <c r="E120" s="4">
        <v>2</v>
      </c>
    </row>
    <row r="121" spans="1:5" ht="110.25" x14ac:dyDescent="0.25">
      <c r="A121" s="4">
        <f t="shared" si="1"/>
        <v>120</v>
      </c>
      <c r="B121" s="4" t="s">
        <v>1275</v>
      </c>
      <c r="C121" s="5" t="s">
        <v>217</v>
      </c>
      <c r="D121" s="4">
        <v>7</v>
      </c>
      <c r="E121" s="4">
        <v>2</v>
      </c>
    </row>
    <row r="122" spans="1:5" ht="78.75" x14ac:dyDescent="0.25">
      <c r="A122" s="4">
        <f t="shared" si="1"/>
        <v>121</v>
      </c>
      <c r="B122" s="4" t="s">
        <v>1266</v>
      </c>
      <c r="C122" s="5" t="s">
        <v>218</v>
      </c>
      <c r="D122" s="4">
        <v>7</v>
      </c>
      <c r="E122" s="4">
        <v>2</v>
      </c>
    </row>
    <row r="123" spans="1:5" x14ac:dyDescent="0.25">
      <c r="A123" s="4">
        <f t="shared" si="1"/>
        <v>122</v>
      </c>
      <c r="B123" s="4" t="s">
        <v>219</v>
      </c>
      <c r="C123" s="5" t="s">
        <v>220</v>
      </c>
      <c r="D123" s="4">
        <v>7</v>
      </c>
      <c r="E123" s="4">
        <v>4</v>
      </c>
    </row>
    <row r="124" spans="1:5" ht="94.5" x14ac:dyDescent="0.25">
      <c r="A124" s="4">
        <f t="shared" si="1"/>
        <v>123</v>
      </c>
      <c r="B124" s="4" t="s">
        <v>1267</v>
      </c>
      <c r="C124" s="5" t="s">
        <v>1045</v>
      </c>
      <c r="D124" s="4">
        <v>7</v>
      </c>
      <c r="E124" s="4">
        <v>2</v>
      </c>
    </row>
    <row r="125" spans="1:5" ht="110.25" x14ac:dyDescent="0.25">
      <c r="A125" s="4">
        <f t="shared" si="1"/>
        <v>124</v>
      </c>
      <c r="B125" s="4" t="s">
        <v>1268</v>
      </c>
      <c r="C125" s="5" t="s">
        <v>1046</v>
      </c>
      <c r="D125" s="4">
        <v>7</v>
      </c>
      <c r="E125" s="4">
        <v>3</v>
      </c>
    </row>
    <row r="126" spans="1:5" ht="47.25" x14ac:dyDescent="0.25">
      <c r="A126" s="4">
        <f t="shared" si="1"/>
        <v>125</v>
      </c>
      <c r="B126" s="4" t="s">
        <v>1269</v>
      </c>
      <c r="C126" s="5" t="s">
        <v>1028</v>
      </c>
      <c r="D126" s="4">
        <v>7</v>
      </c>
      <c r="E126" s="4">
        <v>2</v>
      </c>
    </row>
    <row r="127" spans="1:5" ht="409.5" x14ac:dyDescent="0.25">
      <c r="A127" s="4">
        <f t="shared" si="1"/>
        <v>126</v>
      </c>
      <c r="B127" s="4" t="s">
        <v>222</v>
      </c>
      <c r="C127" s="5" t="s">
        <v>1165</v>
      </c>
      <c r="D127" s="4">
        <v>7</v>
      </c>
      <c r="E127" s="4">
        <v>1</v>
      </c>
    </row>
    <row r="128" spans="1:5" ht="330.75" x14ac:dyDescent="0.25">
      <c r="A128" s="4">
        <f t="shared" si="1"/>
        <v>127</v>
      </c>
      <c r="B128" s="4" t="s">
        <v>223</v>
      </c>
      <c r="C128" s="5" t="s">
        <v>1166</v>
      </c>
      <c r="D128" s="4">
        <v>7</v>
      </c>
      <c r="E128" s="4">
        <v>1</v>
      </c>
    </row>
    <row r="129" spans="1:5" ht="126" x14ac:dyDescent="0.25">
      <c r="A129" s="4">
        <f t="shared" si="1"/>
        <v>128</v>
      </c>
      <c r="B129" s="4" t="s">
        <v>224</v>
      </c>
      <c r="C129" s="5" t="s">
        <v>1167</v>
      </c>
      <c r="D129" s="4">
        <v>7</v>
      </c>
      <c r="E129" s="4">
        <v>1</v>
      </c>
    </row>
    <row r="130" spans="1:5" ht="31.5" x14ac:dyDescent="0.25">
      <c r="A130" s="4">
        <f t="shared" si="1"/>
        <v>129</v>
      </c>
      <c r="B130" s="4" t="s">
        <v>225</v>
      </c>
      <c r="C130" s="5" t="s">
        <v>1027</v>
      </c>
      <c r="D130" s="4">
        <v>7</v>
      </c>
      <c r="E130" s="4">
        <v>2</v>
      </c>
    </row>
    <row r="131" spans="1:5" ht="94.5" x14ac:dyDescent="0.25">
      <c r="A131" s="4">
        <f t="shared" si="1"/>
        <v>130</v>
      </c>
      <c r="B131" s="4" t="s">
        <v>226</v>
      </c>
      <c r="C131" s="5" t="s">
        <v>227</v>
      </c>
      <c r="D131" s="4">
        <v>7</v>
      </c>
      <c r="E131" s="4">
        <v>1</v>
      </c>
    </row>
    <row r="132" spans="1:5" x14ac:dyDescent="0.25">
      <c r="A132" s="4">
        <f>ROW()-1</f>
        <v>131</v>
      </c>
      <c r="B132" s="4" t="s">
        <v>1033</v>
      </c>
      <c r="C132" s="5" t="s">
        <v>1035</v>
      </c>
      <c r="D132" s="4">
        <v>7</v>
      </c>
      <c r="E132" s="4">
        <v>2</v>
      </c>
    </row>
    <row r="133" spans="1:5" x14ac:dyDescent="0.25">
      <c r="A133" s="4">
        <f t="shared" ref="A133:A196" si="2">ROW()-1</f>
        <v>132</v>
      </c>
      <c r="B133" s="4" t="s">
        <v>1034</v>
      </c>
      <c r="C133" s="5" t="s">
        <v>1036</v>
      </c>
      <c r="D133" s="4">
        <v>7</v>
      </c>
      <c r="E133" s="4">
        <v>2</v>
      </c>
    </row>
    <row r="134" spans="1:5" x14ac:dyDescent="0.25">
      <c r="A134" s="4">
        <f t="shared" si="2"/>
        <v>133</v>
      </c>
      <c r="B134" s="4" t="s">
        <v>229</v>
      </c>
      <c r="C134" s="5" t="s">
        <v>230</v>
      </c>
      <c r="D134" s="4">
        <v>7</v>
      </c>
      <c r="E134" s="4">
        <v>4</v>
      </c>
    </row>
    <row r="135" spans="1:5" x14ac:dyDescent="0.25">
      <c r="A135" s="4">
        <f t="shared" si="2"/>
        <v>134</v>
      </c>
      <c r="B135" s="4" t="s">
        <v>231</v>
      </c>
      <c r="C135" s="5" t="s">
        <v>230</v>
      </c>
      <c r="D135" s="4">
        <v>7</v>
      </c>
      <c r="E135" s="4">
        <v>4</v>
      </c>
    </row>
    <row r="136" spans="1:5" x14ac:dyDescent="0.25">
      <c r="A136" s="4">
        <f t="shared" si="2"/>
        <v>135</v>
      </c>
      <c r="B136" s="4" t="s">
        <v>232</v>
      </c>
      <c r="C136" s="5" t="s">
        <v>233</v>
      </c>
      <c r="D136" s="4">
        <v>7</v>
      </c>
      <c r="E136" s="4">
        <v>2</v>
      </c>
    </row>
    <row r="137" spans="1:5" x14ac:dyDescent="0.25">
      <c r="A137" s="4">
        <f t="shared" si="2"/>
        <v>136</v>
      </c>
      <c r="B137" s="4" t="s">
        <v>234</v>
      </c>
      <c r="C137" s="5" t="s">
        <v>235</v>
      </c>
      <c r="D137" s="4">
        <v>7</v>
      </c>
      <c r="E137" s="4">
        <v>2</v>
      </c>
    </row>
    <row r="138" spans="1:5" ht="63" x14ac:dyDescent="0.25">
      <c r="A138" s="4">
        <f t="shared" si="2"/>
        <v>137</v>
      </c>
      <c r="B138" s="4" t="s">
        <v>1270</v>
      </c>
      <c r="C138" s="5" t="s">
        <v>1029</v>
      </c>
      <c r="D138" s="4">
        <v>7</v>
      </c>
      <c r="E138" s="4">
        <v>3</v>
      </c>
    </row>
    <row r="139" spans="1:5" ht="110.25" x14ac:dyDescent="0.25">
      <c r="A139" s="4">
        <f t="shared" si="2"/>
        <v>138</v>
      </c>
      <c r="B139" s="4" t="s">
        <v>236</v>
      </c>
      <c r="C139" s="5" t="s">
        <v>237</v>
      </c>
      <c r="D139" s="4">
        <v>7</v>
      </c>
      <c r="E139" s="4">
        <v>4</v>
      </c>
    </row>
    <row r="140" spans="1:5" ht="110.25" x14ac:dyDescent="0.25">
      <c r="A140" s="4">
        <f t="shared" si="2"/>
        <v>139</v>
      </c>
      <c r="B140" s="4" t="s">
        <v>238</v>
      </c>
      <c r="C140" s="5" t="s">
        <v>239</v>
      </c>
      <c r="D140" s="4">
        <v>7</v>
      </c>
      <c r="E140" s="4">
        <v>3</v>
      </c>
    </row>
    <row r="141" spans="1:5" x14ac:dyDescent="0.25">
      <c r="A141" s="4">
        <f t="shared" si="2"/>
        <v>140</v>
      </c>
      <c r="B141" s="4" t="s">
        <v>240</v>
      </c>
      <c r="C141" s="5" t="s">
        <v>241</v>
      </c>
      <c r="D141" s="4">
        <v>7</v>
      </c>
      <c r="E141" s="4">
        <v>1</v>
      </c>
    </row>
    <row r="142" spans="1:5" ht="346.5" x14ac:dyDescent="0.25">
      <c r="A142" s="4">
        <f t="shared" si="2"/>
        <v>141</v>
      </c>
      <c r="B142" s="4" t="s">
        <v>1271</v>
      </c>
      <c r="C142" s="5" t="s">
        <v>242</v>
      </c>
      <c r="D142" s="4">
        <v>7</v>
      </c>
      <c r="E142" s="4">
        <v>2</v>
      </c>
    </row>
    <row r="143" spans="1:5" x14ac:dyDescent="0.25">
      <c r="A143" s="4">
        <f t="shared" si="2"/>
        <v>142</v>
      </c>
      <c r="B143" s="4" t="s">
        <v>243</v>
      </c>
      <c r="C143" s="5" t="s">
        <v>1026</v>
      </c>
      <c r="D143" s="4">
        <v>7</v>
      </c>
      <c r="E143" s="4">
        <v>2</v>
      </c>
    </row>
    <row r="144" spans="1:5" x14ac:dyDescent="0.25">
      <c r="A144" s="4">
        <f t="shared" si="2"/>
        <v>143</v>
      </c>
      <c r="B144" s="4" t="s">
        <v>244</v>
      </c>
      <c r="C144" s="5" t="s">
        <v>1023</v>
      </c>
      <c r="D144" s="4">
        <v>7</v>
      </c>
      <c r="E144" s="4">
        <v>2</v>
      </c>
    </row>
    <row r="145" spans="1:5" x14ac:dyDescent="0.25">
      <c r="A145" s="4">
        <f t="shared" si="2"/>
        <v>144</v>
      </c>
      <c r="B145" s="4" t="s">
        <v>245</v>
      </c>
      <c r="C145" s="5" t="s">
        <v>1024</v>
      </c>
      <c r="D145" s="4">
        <v>7</v>
      </c>
      <c r="E145" s="4">
        <v>2</v>
      </c>
    </row>
    <row r="146" spans="1:5" x14ac:dyDescent="0.25">
      <c r="A146" s="4">
        <f t="shared" si="2"/>
        <v>145</v>
      </c>
      <c r="B146" s="4" t="s">
        <v>246</v>
      </c>
      <c r="C146" s="5" t="s">
        <v>1025</v>
      </c>
      <c r="D146" s="4">
        <v>7</v>
      </c>
      <c r="E146" s="4">
        <v>2</v>
      </c>
    </row>
    <row r="147" spans="1:5" x14ac:dyDescent="0.25">
      <c r="A147" s="4">
        <f t="shared" si="2"/>
        <v>146</v>
      </c>
      <c r="B147" s="4" t="s">
        <v>247</v>
      </c>
      <c r="C147" s="5" t="s">
        <v>1030</v>
      </c>
      <c r="D147" s="4">
        <v>7</v>
      </c>
      <c r="E147" s="4">
        <v>3</v>
      </c>
    </row>
    <row r="148" spans="1:5" ht="94.5" x14ac:dyDescent="0.25">
      <c r="A148" s="4">
        <f t="shared" si="2"/>
        <v>147</v>
      </c>
      <c r="B148" s="4" t="s">
        <v>1274</v>
      </c>
      <c r="C148" s="5" t="s">
        <v>249</v>
      </c>
      <c r="D148" s="4">
        <v>7</v>
      </c>
      <c r="E148" s="4">
        <v>2</v>
      </c>
    </row>
    <row r="149" spans="1:5" ht="31.5" x14ac:dyDescent="0.25">
      <c r="A149" s="4">
        <f t="shared" si="2"/>
        <v>148</v>
      </c>
      <c r="B149" s="4" t="s">
        <v>250</v>
      </c>
      <c r="C149" s="5" t="s">
        <v>1032</v>
      </c>
      <c r="D149" s="4">
        <v>7</v>
      </c>
      <c r="E149" s="4">
        <v>4</v>
      </c>
    </row>
    <row r="150" spans="1:5" ht="31.5" x14ac:dyDescent="0.25">
      <c r="A150" s="4">
        <f t="shared" si="2"/>
        <v>149</v>
      </c>
      <c r="B150" s="4" t="s">
        <v>251</v>
      </c>
      <c r="C150" s="5" t="s">
        <v>1031</v>
      </c>
      <c r="D150" s="4">
        <v>7</v>
      </c>
      <c r="E150" s="4">
        <v>4</v>
      </c>
    </row>
    <row r="151" spans="1:5" ht="126" x14ac:dyDescent="0.25">
      <c r="A151" s="4">
        <f t="shared" si="2"/>
        <v>150</v>
      </c>
      <c r="B151" s="4" t="s">
        <v>1273</v>
      </c>
      <c r="C151" s="5" t="s">
        <v>252</v>
      </c>
      <c r="D151" s="4">
        <v>7</v>
      </c>
      <c r="E151" s="4">
        <v>2</v>
      </c>
    </row>
    <row r="152" spans="1:5" x14ac:dyDescent="0.25">
      <c r="A152" s="4">
        <f t="shared" si="2"/>
        <v>151</v>
      </c>
      <c r="B152" s="4" t="s">
        <v>253</v>
      </c>
      <c r="C152" s="5" t="s">
        <v>254</v>
      </c>
      <c r="D152" s="4">
        <v>7</v>
      </c>
      <c r="E152" s="4">
        <v>2</v>
      </c>
    </row>
    <row r="153" spans="1:5" ht="141.75" x14ac:dyDescent="0.25">
      <c r="A153" s="4">
        <f t="shared" si="2"/>
        <v>152</v>
      </c>
      <c r="B153" s="4" t="s">
        <v>255</v>
      </c>
      <c r="C153" s="5" t="s">
        <v>256</v>
      </c>
      <c r="D153" s="4">
        <v>7</v>
      </c>
      <c r="E153" s="4">
        <v>3</v>
      </c>
    </row>
    <row r="154" spans="1:5" x14ac:dyDescent="0.25">
      <c r="A154" s="4">
        <f t="shared" si="2"/>
        <v>153</v>
      </c>
      <c r="B154" s="4" t="s">
        <v>257</v>
      </c>
      <c r="C154" s="5" t="s">
        <v>220</v>
      </c>
      <c r="D154" s="4">
        <v>7</v>
      </c>
      <c r="E154" s="4">
        <v>4</v>
      </c>
    </row>
    <row r="155" spans="1:5" x14ac:dyDescent="0.25">
      <c r="A155" s="4">
        <f t="shared" si="2"/>
        <v>154</v>
      </c>
      <c r="B155" s="4" t="s">
        <v>258</v>
      </c>
      <c r="C155" s="5" t="s">
        <v>220</v>
      </c>
      <c r="D155" s="4">
        <v>7</v>
      </c>
      <c r="E155" s="4">
        <v>4</v>
      </c>
    </row>
    <row r="156" spans="1:5" ht="78.75" x14ac:dyDescent="0.25">
      <c r="A156" s="4">
        <f t="shared" si="2"/>
        <v>155</v>
      </c>
      <c r="B156" s="4" t="s">
        <v>1272</v>
      </c>
      <c r="C156" s="5" t="s">
        <v>259</v>
      </c>
      <c r="D156" s="4">
        <v>7</v>
      </c>
      <c r="E156" s="4">
        <v>2</v>
      </c>
    </row>
    <row r="157" spans="1:5" x14ac:dyDescent="0.25">
      <c r="A157" s="4">
        <f t="shared" si="2"/>
        <v>156</v>
      </c>
      <c r="B157" s="4" t="s">
        <v>260</v>
      </c>
      <c r="C157" s="5" t="s">
        <v>220</v>
      </c>
      <c r="D157" s="4">
        <v>7</v>
      </c>
      <c r="E157" s="4">
        <v>4</v>
      </c>
    </row>
    <row r="158" spans="1:5" ht="141.75" x14ac:dyDescent="0.25">
      <c r="A158" s="4">
        <f t="shared" si="2"/>
        <v>157</v>
      </c>
      <c r="B158" s="4" t="s">
        <v>1534</v>
      </c>
      <c r="C158" s="5" t="s">
        <v>261</v>
      </c>
      <c r="D158" s="4">
        <v>27</v>
      </c>
      <c r="E158" s="4">
        <v>2</v>
      </c>
    </row>
    <row r="159" spans="1:5" ht="141.75" x14ac:dyDescent="0.25">
      <c r="A159" s="4">
        <f t="shared" si="2"/>
        <v>158</v>
      </c>
      <c r="B159" s="4" t="s">
        <v>1535</v>
      </c>
      <c r="C159" s="5" t="s">
        <v>262</v>
      </c>
      <c r="D159" s="4">
        <v>27</v>
      </c>
      <c r="E159" s="4">
        <v>2</v>
      </c>
    </row>
    <row r="160" spans="1:5" ht="141.75" x14ac:dyDescent="0.25">
      <c r="A160" s="4">
        <f t="shared" si="2"/>
        <v>159</v>
      </c>
      <c r="B160" s="4" t="s">
        <v>1536</v>
      </c>
      <c r="C160" s="5" t="s">
        <v>263</v>
      </c>
      <c r="D160" s="4">
        <v>27</v>
      </c>
      <c r="E160" s="4">
        <v>2</v>
      </c>
    </row>
    <row r="161" spans="1:5" ht="252" x14ac:dyDescent="0.25">
      <c r="A161" s="4">
        <f t="shared" si="2"/>
        <v>160</v>
      </c>
      <c r="B161" s="4" t="s">
        <v>264</v>
      </c>
      <c r="C161" s="5" t="s">
        <v>265</v>
      </c>
      <c r="D161" s="4">
        <v>27</v>
      </c>
      <c r="E161" s="4">
        <v>3</v>
      </c>
    </row>
    <row r="162" spans="1:5" ht="31.5" x14ac:dyDescent="0.25">
      <c r="A162" s="4">
        <f t="shared" si="2"/>
        <v>161</v>
      </c>
      <c r="B162" s="4" t="s">
        <v>266</v>
      </c>
      <c r="C162" s="5" t="s">
        <v>267</v>
      </c>
      <c r="D162" s="4">
        <v>27</v>
      </c>
      <c r="E162" s="4">
        <v>2</v>
      </c>
    </row>
    <row r="163" spans="1:5" ht="47.25" x14ac:dyDescent="0.25">
      <c r="A163" s="4">
        <f t="shared" si="2"/>
        <v>162</v>
      </c>
      <c r="B163" s="4" t="s">
        <v>268</v>
      </c>
      <c r="C163" s="5" t="s">
        <v>269</v>
      </c>
      <c r="D163" s="4">
        <v>27</v>
      </c>
      <c r="E163" s="4">
        <v>1</v>
      </c>
    </row>
    <row r="164" spans="1:5" ht="110.25" x14ac:dyDescent="0.25">
      <c r="A164" s="4">
        <f t="shared" si="2"/>
        <v>163</v>
      </c>
      <c r="B164" s="4" t="s">
        <v>1537</v>
      </c>
      <c r="C164" s="5" t="s">
        <v>270</v>
      </c>
      <c r="D164" s="4">
        <v>27</v>
      </c>
      <c r="E164" s="4">
        <v>2</v>
      </c>
    </row>
    <row r="165" spans="1:5" ht="94.5" x14ac:dyDescent="0.25">
      <c r="A165" s="4">
        <f t="shared" si="2"/>
        <v>164</v>
      </c>
      <c r="B165" s="4" t="s">
        <v>1538</v>
      </c>
      <c r="C165" s="5" t="s">
        <v>271</v>
      </c>
      <c r="D165" s="4">
        <v>27</v>
      </c>
      <c r="E165" s="4">
        <v>2</v>
      </c>
    </row>
    <row r="166" spans="1:5" ht="141.75" x14ac:dyDescent="0.25">
      <c r="A166" s="4">
        <f t="shared" si="2"/>
        <v>165</v>
      </c>
      <c r="B166" s="4" t="s">
        <v>272</v>
      </c>
      <c r="C166" s="5" t="s">
        <v>1247</v>
      </c>
      <c r="D166" s="4">
        <v>27</v>
      </c>
      <c r="E166" s="4">
        <v>1</v>
      </c>
    </row>
    <row r="167" spans="1:5" ht="47.25" x14ac:dyDescent="0.25">
      <c r="A167" s="4">
        <f t="shared" si="2"/>
        <v>166</v>
      </c>
      <c r="B167" s="4" t="s">
        <v>1117</v>
      </c>
      <c r="C167" s="5" t="s">
        <v>273</v>
      </c>
      <c r="D167" s="4">
        <v>27</v>
      </c>
      <c r="E167" s="4">
        <v>1</v>
      </c>
    </row>
    <row r="168" spans="1:5" ht="94.5" x14ac:dyDescent="0.25">
      <c r="A168" s="4">
        <f t="shared" si="2"/>
        <v>167</v>
      </c>
      <c r="B168" s="4" t="s">
        <v>274</v>
      </c>
      <c r="C168" s="5" t="s">
        <v>275</v>
      </c>
      <c r="D168" s="4">
        <v>27</v>
      </c>
      <c r="E168" s="4">
        <v>1</v>
      </c>
    </row>
    <row r="169" spans="1:5" ht="63" x14ac:dyDescent="0.25">
      <c r="A169" s="4">
        <f t="shared" si="2"/>
        <v>168</v>
      </c>
      <c r="B169" s="4" t="s">
        <v>1539</v>
      </c>
      <c r="C169" s="5" t="s">
        <v>276</v>
      </c>
      <c r="D169" s="4">
        <v>27</v>
      </c>
      <c r="E169" s="4">
        <v>2</v>
      </c>
    </row>
    <row r="170" spans="1:5" ht="47.25" x14ac:dyDescent="0.25">
      <c r="A170" s="4">
        <f t="shared" si="2"/>
        <v>169</v>
      </c>
      <c r="B170" s="4" t="s">
        <v>215</v>
      </c>
      <c r="C170" s="5" t="s">
        <v>277</v>
      </c>
      <c r="D170" s="4">
        <v>27</v>
      </c>
      <c r="E170" s="4">
        <v>2</v>
      </c>
    </row>
    <row r="171" spans="1:5" ht="409.5" x14ac:dyDescent="0.25">
      <c r="A171" s="4">
        <f t="shared" si="2"/>
        <v>170</v>
      </c>
      <c r="B171" s="4" t="s">
        <v>278</v>
      </c>
      <c r="C171" s="5" t="s">
        <v>279</v>
      </c>
      <c r="D171" s="4">
        <v>27</v>
      </c>
      <c r="E171" s="4">
        <v>1</v>
      </c>
    </row>
    <row r="172" spans="1:5" ht="220.5" x14ac:dyDescent="0.25">
      <c r="A172" s="4">
        <f t="shared" si="2"/>
        <v>171</v>
      </c>
      <c r="B172" s="4" t="s">
        <v>280</v>
      </c>
      <c r="C172" s="5" t="s">
        <v>281</v>
      </c>
      <c r="D172" s="4">
        <v>27</v>
      </c>
      <c r="E172" s="4">
        <v>1</v>
      </c>
    </row>
    <row r="173" spans="1:5" ht="299.25" x14ac:dyDescent="0.25">
      <c r="A173" s="4">
        <f t="shared" si="2"/>
        <v>172</v>
      </c>
      <c r="B173" s="4" t="s">
        <v>282</v>
      </c>
      <c r="C173" s="5" t="s">
        <v>283</v>
      </c>
      <c r="D173" s="4">
        <v>27</v>
      </c>
      <c r="E173" s="4">
        <v>1</v>
      </c>
    </row>
    <row r="174" spans="1:5" ht="110.25" x14ac:dyDescent="0.25">
      <c r="A174" s="4">
        <f t="shared" si="2"/>
        <v>173</v>
      </c>
      <c r="B174" s="4" t="s">
        <v>284</v>
      </c>
      <c r="C174" s="5" t="s">
        <v>285</v>
      </c>
      <c r="D174" s="4">
        <v>27</v>
      </c>
      <c r="E174" s="4">
        <v>1</v>
      </c>
    </row>
    <row r="175" spans="1:5" ht="126" x14ac:dyDescent="0.25">
      <c r="A175" s="4">
        <f t="shared" si="2"/>
        <v>174</v>
      </c>
      <c r="B175" s="4" t="s">
        <v>286</v>
      </c>
      <c r="C175" s="5" t="s">
        <v>287</v>
      </c>
      <c r="D175" s="4">
        <v>27</v>
      </c>
      <c r="E175" s="4">
        <v>1</v>
      </c>
    </row>
    <row r="176" spans="1:5" x14ac:dyDescent="0.25">
      <c r="A176" s="4">
        <f t="shared" si="2"/>
        <v>175</v>
      </c>
      <c r="B176" s="4" t="s">
        <v>288</v>
      </c>
      <c r="C176" s="5" t="s">
        <v>289</v>
      </c>
      <c r="D176" s="4">
        <v>27</v>
      </c>
      <c r="E176" s="4">
        <v>2</v>
      </c>
    </row>
    <row r="177" spans="1:5" ht="47.25" x14ac:dyDescent="0.25">
      <c r="A177" s="4">
        <f t="shared" si="2"/>
        <v>176</v>
      </c>
      <c r="B177" s="4" t="s">
        <v>1250</v>
      </c>
      <c r="C177" s="5" t="s">
        <v>1249</v>
      </c>
      <c r="D177" s="4">
        <v>27</v>
      </c>
      <c r="E177" s="4">
        <v>2</v>
      </c>
    </row>
    <row r="178" spans="1:5" x14ac:dyDescent="0.25">
      <c r="A178" s="4">
        <f t="shared" si="2"/>
        <v>177</v>
      </c>
      <c r="B178" s="4" t="s">
        <v>290</v>
      </c>
      <c r="C178" s="5" t="s">
        <v>1248</v>
      </c>
      <c r="D178" s="4">
        <v>27</v>
      </c>
      <c r="E178" s="4">
        <v>4</v>
      </c>
    </row>
    <row r="179" spans="1:5" ht="94.5" x14ac:dyDescent="0.25">
      <c r="A179" s="4">
        <f t="shared" si="2"/>
        <v>178</v>
      </c>
      <c r="B179" s="4" t="s">
        <v>1540</v>
      </c>
      <c r="C179" s="5" t="s">
        <v>291</v>
      </c>
      <c r="D179" s="4">
        <v>27</v>
      </c>
      <c r="E179" s="4">
        <v>2</v>
      </c>
    </row>
    <row r="180" spans="1:5" x14ac:dyDescent="0.25">
      <c r="A180" s="4">
        <f t="shared" si="2"/>
        <v>179</v>
      </c>
      <c r="B180" s="4" t="s">
        <v>292</v>
      </c>
      <c r="C180" s="5" t="s">
        <v>293</v>
      </c>
      <c r="D180" s="4">
        <v>27</v>
      </c>
      <c r="E180" s="4">
        <v>4</v>
      </c>
    </row>
    <row r="181" spans="1:5" x14ac:dyDescent="0.25">
      <c r="A181" s="4">
        <f t="shared" si="2"/>
        <v>180</v>
      </c>
      <c r="B181" s="4" t="s">
        <v>232</v>
      </c>
      <c r="C181" s="5" t="s">
        <v>294</v>
      </c>
      <c r="D181" s="4">
        <v>27</v>
      </c>
      <c r="E181" s="4">
        <v>2</v>
      </c>
    </row>
    <row r="182" spans="1:5" x14ac:dyDescent="0.25">
      <c r="A182" s="4">
        <f t="shared" si="2"/>
        <v>181</v>
      </c>
      <c r="B182" s="4" t="s">
        <v>295</v>
      </c>
      <c r="C182" s="5" t="s">
        <v>296</v>
      </c>
      <c r="D182" s="4">
        <v>27</v>
      </c>
      <c r="E182" s="4">
        <v>2</v>
      </c>
    </row>
    <row r="183" spans="1:5" ht="63" x14ac:dyDescent="0.25">
      <c r="A183" s="4">
        <f t="shared" si="2"/>
        <v>182</v>
      </c>
      <c r="B183" s="4" t="s">
        <v>1541</v>
      </c>
      <c r="C183" s="5" t="s">
        <v>297</v>
      </c>
      <c r="D183" s="4">
        <v>27</v>
      </c>
      <c r="E183" s="4">
        <v>2</v>
      </c>
    </row>
    <row r="184" spans="1:5" x14ac:dyDescent="0.25">
      <c r="A184" s="4">
        <f t="shared" si="2"/>
        <v>183</v>
      </c>
      <c r="B184" s="5" t="s">
        <v>298</v>
      </c>
      <c r="C184" s="5" t="s">
        <v>299</v>
      </c>
      <c r="D184" s="4">
        <v>29</v>
      </c>
      <c r="E184" s="4">
        <v>2</v>
      </c>
    </row>
    <row r="185" spans="1:5" ht="63" x14ac:dyDescent="0.25">
      <c r="A185" s="4">
        <f t="shared" si="2"/>
        <v>184</v>
      </c>
      <c r="B185" s="4" t="s">
        <v>1532</v>
      </c>
      <c r="C185" s="5" t="s">
        <v>301</v>
      </c>
      <c r="D185" s="4">
        <v>27</v>
      </c>
      <c r="E185" s="4">
        <v>2</v>
      </c>
    </row>
    <row r="186" spans="1:5" ht="47.25" x14ac:dyDescent="0.25">
      <c r="A186" s="4">
        <f t="shared" si="2"/>
        <v>185</v>
      </c>
      <c r="B186" s="4" t="s">
        <v>1533</v>
      </c>
      <c r="C186" s="5" t="s">
        <v>303</v>
      </c>
      <c r="D186" s="4">
        <v>27</v>
      </c>
      <c r="E186" s="4">
        <v>2</v>
      </c>
    </row>
    <row r="187" spans="1:5" ht="94.5" x14ac:dyDescent="0.25">
      <c r="A187" s="4">
        <f t="shared" si="2"/>
        <v>186</v>
      </c>
      <c r="B187" s="4" t="s">
        <v>1118</v>
      </c>
      <c r="C187" s="5" t="s">
        <v>304</v>
      </c>
      <c r="D187" s="4">
        <v>27</v>
      </c>
      <c r="E187" s="4">
        <v>3</v>
      </c>
    </row>
    <row r="188" spans="1:5" x14ac:dyDescent="0.25">
      <c r="A188" s="4">
        <f t="shared" si="2"/>
        <v>187</v>
      </c>
      <c r="B188" s="4" t="s">
        <v>305</v>
      </c>
      <c r="C188" s="5" t="s">
        <v>230</v>
      </c>
      <c r="D188" s="4">
        <v>27</v>
      </c>
      <c r="E188" s="4">
        <v>4</v>
      </c>
    </row>
    <row r="189" spans="1:5" x14ac:dyDescent="0.25">
      <c r="A189" s="4">
        <f t="shared" si="2"/>
        <v>188</v>
      </c>
      <c r="B189" s="4" t="s">
        <v>306</v>
      </c>
      <c r="C189" s="5" t="s">
        <v>307</v>
      </c>
      <c r="D189" s="4">
        <v>27</v>
      </c>
      <c r="E189" s="4">
        <v>4</v>
      </c>
    </row>
    <row r="190" spans="1:5" ht="63" x14ac:dyDescent="0.25">
      <c r="A190" s="4">
        <f t="shared" si="2"/>
        <v>189</v>
      </c>
      <c r="B190" s="4" t="s">
        <v>308</v>
      </c>
      <c r="C190" s="5" t="s">
        <v>1575</v>
      </c>
      <c r="D190" s="4">
        <v>27</v>
      </c>
      <c r="E190" s="4">
        <v>3</v>
      </c>
    </row>
    <row r="191" spans="1:5" ht="31.5" x14ac:dyDescent="0.25">
      <c r="A191" s="4">
        <f t="shared" si="2"/>
        <v>190</v>
      </c>
      <c r="B191" s="4" t="s">
        <v>1576</v>
      </c>
      <c r="C191" s="5" t="s">
        <v>1577</v>
      </c>
      <c r="D191" s="4">
        <v>27</v>
      </c>
      <c r="E191" s="4">
        <v>3</v>
      </c>
    </row>
    <row r="192" spans="1:5" ht="94.5" x14ac:dyDescent="0.25">
      <c r="A192" s="4">
        <f t="shared" si="2"/>
        <v>191</v>
      </c>
      <c r="B192" s="4" t="s">
        <v>1542</v>
      </c>
      <c r="C192" s="5" t="s">
        <v>1256</v>
      </c>
      <c r="D192" s="4">
        <v>28</v>
      </c>
      <c r="E192" s="4">
        <v>2</v>
      </c>
    </row>
    <row r="193" spans="1:5" ht="78.75" x14ac:dyDescent="0.25">
      <c r="A193" s="4">
        <f t="shared" si="2"/>
        <v>192</v>
      </c>
      <c r="B193" s="4" t="s">
        <v>1543</v>
      </c>
      <c r="C193" s="5" t="s">
        <v>1251</v>
      </c>
      <c r="D193" s="4">
        <v>28</v>
      </c>
      <c r="E193" s="4">
        <v>2</v>
      </c>
    </row>
    <row r="194" spans="1:5" ht="63" x14ac:dyDescent="0.25">
      <c r="A194" s="4">
        <f t="shared" si="2"/>
        <v>193</v>
      </c>
      <c r="B194" s="4" t="s">
        <v>1544</v>
      </c>
      <c r="C194" s="5" t="s">
        <v>1252</v>
      </c>
      <c r="D194" s="4">
        <v>28</v>
      </c>
      <c r="E194" s="4">
        <v>2</v>
      </c>
    </row>
    <row r="195" spans="1:5" ht="47.25" x14ac:dyDescent="0.25">
      <c r="A195" s="4">
        <f t="shared" si="2"/>
        <v>194</v>
      </c>
      <c r="B195" s="4" t="s">
        <v>1545</v>
      </c>
      <c r="C195" s="5" t="s">
        <v>1253</v>
      </c>
      <c r="D195" s="4">
        <v>28</v>
      </c>
      <c r="E195" s="4">
        <v>2</v>
      </c>
    </row>
    <row r="196" spans="1:5" ht="157.5" x14ac:dyDescent="0.25">
      <c r="A196" s="4">
        <f t="shared" si="2"/>
        <v>195</v>
      </c>
      <c r="B196" s="4" t="s">
        <v>1255</v>
      </c>
      <c r="C196" s="5" t="s">
        <v>1254</v>
      </c>
      <c r="D196" s="4">
        <v>28</v>
      </c>
      <c r="E196" s="4">
        <v>2</v>
      </c>
    </row>
    <row r="197" spans="1:5" ht="299.25" x14ac:dyDescent="0.25">
      <c r="A197" s="4">
        <f t="shared" ref="A197:A261" si="3">ROW()-1</f>
        <v>196</v>
      </c>
      <c r="B197" s="4" t="s">
        <v>309</v>
      </c>
      <c r="C197" s="5" t="s">
        <v>310</v>
      </c>
      <c r="D197" s="4">
        <v>28</v>
      </c>
      <c r="E197" s="4">
        <v>2</v>
      </c>
    </row>
    <row r="198" spans="1:5" ht="157.5" x14ac:dyDescent="0.25">
      <c r="A198" s="4">
        <f t="shared" si="3"/>
        <v>197</v>
      </c>
      <c r="B198" s="4" t="s">
        <v>1546</v>
      </c>
      <c r="C198" s="5" t="s">
        <v>311</v>
      </c>
      <c r="D198" s="4">
        <v>28</v>
      </c>
      <c r="E198" s="4">
        <v>2</v>
      </c>
    </row>
    <row r="199" spans="1:5" ht="63" x14ac:dyDescent="0.25">
      <c r="A199" s="4">
        <f t="shared" si="3"/>
        <v>198</v>
      </c>
      <c r="B199" s="4" t="s">
        <v>1547</v>
      </c>
      <c r="C199" s="5" t="s">
        <v>312</v>
      </c>
      <c r="D199" s="4">
        <v>28</v>
      </c>
      <c r="E199" s="4">
        <v>2</v>
      </c>
    </row>
    <row r="200" spans="1:5" ht="126" x14ac:dyDescent="0.25">
      <c r="A200" s="4">
        <f t="shared" si="3"/>
        <v>199</v>
      </c>
      <c r="B200" s="4" t="s">
        <v>1548</v>
      </c>
      <c r="C200" s="5" t="s">
        <v>313</v>
      </c>
      <c r="D200" s="4">
        <v>28</v>
      </c>
      <c r="E200" s="4">
        <v>2</v>
      </c>
    </row>
    <row r="201" spans="1:5" ht="110.25" x14ac:dyDescent="0.25">
      <c r="A201" s="4">
        <f t="shared" si="3"/>
        <v>200</v>
      </c>
      <c r="B201" s="4" t="s">
        <v>1549</v>
      </c>
      <c r="C201" s="5" t="s">
        <v>314</v>
      </c>
      <c r="D201" s="4">
        <v>28</v>
      </c>
      <c r="E201" s="4">
        <v>2</v>
      </c>
    </row>
    <row r="202" spans="1:5" ht="126" x14ac:dyDescent="0.25">
      <c r="A202" s="4">
        <f t="shared" si="3"/>
        <v>201</v>
      </c>
      <c r="B202" s="4" t="s">
        <v>1550</v>
      </c>
      <c r="C202" s="5" t="s">
        <v>315</v>
      </c>
      <c r="D202" s="4">
        <v>28</v>
      </c>
      <c r="E202" s="4">
        <v>2</v>
      </c>
    </row>
    <row r="203" spans="1:5" ht="189" x14ac:dyDescent="0.25">
      <c r="A203" s="4">
        <f t="shared" si="3"/>
        <v>202</v>
      </c>
      <c r="B203" s="4" t="s">
        <v>1551</v>
      </c>
      <c r="C203" s="5" t="s">
        <v>316</v>
      </c>
      <c r="D203" s="4">
        <v>28</v>
      </c>
      <c r="E203" s="4">
        <v>2</v>
      </c>
    </row>
    <row r="204" spans="1:5" ht="189" x14ac:dyDescent="0.25">
      <c r="A204" s="4">
        <f t="shared" si="3"/>
        <v>203</v>
      </c>
      <c r="B204" s="4" t="s">
        <v>1552</v>
      </c>
      <c r="C204" s="5" t="s">
        <v>317</v>
      </c>
      <c r="D204" s="4">
        <v>28</v>
      </c>
      <c r="E204" s="4">
        <v>2</v>
      </c>
    </row>
    <row r="205" spans="1:5" ht="204.75" x14ac:dyDescent="0.25">
      <c r="A205" s="4">
        <f t="shared" si="3"/>
        <v>204</v>
      </c>
      <c r="B205" s="4" t="s">
        <v>1553</v>
      </c>
      <c r="C205" s="5" t="s">
        <v>318</v>
      </c>
      <c r="D205" s="4">
        <v>28</v>
      </c>
      <c r="E205" s="4">
        <v>2</v>
      </c>
    </row>
    <row r="206" spans="1:5" ht="236.25" x14ac:dyDescent="0.25">
      <c r="A206" s="4">
        <f t="shared" si="3"/>
        <v>205</v>
      </c>
      <c r="B206" s="4" t="s">
        <v>319</v>
      </c>
      <c r="C206" s="5" t="s">
        <v>320</v>
      </c>
      <c r="D206" s="4">
        <v>28</v>
      </c>
      <c r="E206" s="4">
        <v>2</v>
      </c>
    </row>
    <row r="207" spans="1:5" ht="173.25" x14ac:dyDescent="0.25">
      <c r="A207" s="4">
        <f t="shared" si="3"/>
        <v>206</v>
      </c>
      <c r="B207" s="4" t="s">
        <v>1554</v>
      </c>
      <c r="C207" s="5" t="s">
        <v>321</v>
      </c>
      <c r="D207" s="4">
        <v>28</v>
      </c>
      <c r="E207" s="4">
        <v>2</v>
      </c>
    </row>
    <row r="208" spans="1:5" ht="78.75" x14ac:dyDescent="0.25">
      <c r="A208" s="4">
        <f t="shared" si="3"/>
        <v>207</v>
      </c>
      <c r="B208" s="4" t="s">
        <v>1555</v>
      </c>
      <c r="C208" s="5" t="s">
        <v>322</v>
      </c>
      <c r="D208" s="4">
        <v>28</v>
      </c>
      <c r="E208" s="4">
        <v>2</v>
      </c>
    </row>
    <row r="209" spans="1:5" ht="94.5" x14ac:dyDescent="0.25">
      <c r="A209" s="4">
        <f t="shared" si="3"/>
        <v>208</v>
      </c>
      <c r="B209" s="4" t="s">
        <v>1556</v>
      </c>
      <c r="C209" s="5" t="s">
        <v>323</v>
      </c>
      <c r="D209" s="4">
        <v>28</v>
      </c>
      <c r="E209" s="4">
        <v>2</v>
      </c>
    </row>
    <row r="210" spans="1:5" ht="157.5" x14ac:dyDescent="0.25">
      <c r="A210" s="4">
        <f t="shared" si="3"/>
        <v>209</v>
      </c>
      <c r="B210" s="4" t="s">
        <v>1557</v>
      </c>
      <c r="C210" s="5" t="s">
        <v>325</v>
      </c>
      <c r="D210" s="4">
        <v>28</v>
      </c>
      <c r="E210" s="4">
        <v>2</v>
      </c>
    </row>
    <row r="211" spans="1:5" ht="110.25" x14ac:dyDescent="0.25">
      <c r="A211" s="4">
        <f t="shared" si="3"/>
        <v>210</v>
      </c>
      <c r="B211" s="4" t="s">
        <v>1558</v>
      </c>
      <c r="C211" s="5" t="s">
        <v>327</v>
      </c>
      <c r="D211" s="4">
        <v>28</v>
      </c>
      <c r="E211" s="4">
        <v>2</v>
      </c>
    </row>
    <row r="212" spans="1:5" ht="173.25" x14ac:dyDescent="0.25">
      <c r="A212" s="4">
        <f t="shared" si="3"/>
        <v>211</v>
      </c>
      <c r="B212" s="4" t="s">
        <v>328</v>
      </c>
      <c r="C212" s="5" t="s">
        <v>329</v>
      </c>
      <c r="D212" s="4">
        <v>28</v>
      </c>
      <c r="E212" s="4">
        <v>2</v>
      </c>
    </row>
    <row r="213" spans="1:5" ht="189" x14ac:dyDescent="0.25">
      <c r="A213" s="4">
        <f t="shared" si="3"/>
        <v>212</v>
      </c>
      <c r="B213" s="4" t="s">
        <v>1559</v>
      </c>
      <c r="C213" s="5" t="s">
        <v>330</v>
      </c>
      <c r="D213" s="4">
        <v>28</v>
      </c>
      <c r="E213" s="4">
        <v>2</v>
      </c>
    </row>
    <row r="214" spans="1:5" ht="110.25" x14ac:dyDescent="0.25">
      <c r="A214" s="4">
        <f t="shared" si="3"/>
        <v>213</v>
      </c>
      <c r="B214" s="4" t="s">
        <v>1560</v>
      </c>
      <c r="C214" s="5" t="s">
        <v>331</v>
      </c>
      <c r="D214" s="4">
        <v>28</v>
      </c>
      <c r="E214" s="4">
        <v>2</v>
      </c>
    </row>
    <row r="215" spans="1:5" ht="126" x14ac:dyDescent="0.25">
      <c r="A215" s="4">
        <f t="shared" si="3"/>
        <v>214</v>
      </c>
      <c r="B215" s="4" t="s">
        <v>1561</v>
      </c>
      <c r="C215" s="5" t="s">
        <v>332</v>
      </c>
      <c r="D215" s="4">
        <v>28</v>
      </c>
      <c r="E215" s="4">
        <v>2</v>
      </c>
    </row>
    <row r="216" spans="1:5" ht="94.5" x14ac:dyDescent="0.25">
      <c r="A216" s="4">
        <f t="shared" si="3"/>
        <v>215</v>
      </c>
      <c r="B216" s="4" t="s">
        <v>1562</v>
      </c>
      <c r="C216" s="5" t="s">
        <v>333</v>
      </c>
      <c r="D216" s="4">
        <v>28</v>
      </c>
      <c r="E216" s="4">
        <v>2</v>
      </c>
    </row>
    <row r="217" spans="1:5" ht="267.75" x14ac:dyDescent="0.25">
      <c r="A217" s="4">
        <f t="shared" si="3"/>
        <v>216</v>
      </c>
      <c r="B217" s="4" t="s">
        <v>1563</v>
      </c>
      <c r="C217" s="5" t="s">
        <v>334</v>
      </c>
      <c r="D217" s="4">
        <v>28</v>
      </c>
      <c r="E217" s="4">
        <v>2</v>
      </c>
    </row>
    <row r="218" spans="1:5" ht="204.75" x14ac:dyDescent="0.25">
      <c r="A218" s="4">
        <f t="shared" si="3"/>
        <v>217</v>
      </c>
      <c r="B218" s="4" t="s">
        <v>1564</v>
      </c>
      <c r="C218" s="5" t="s">
        <v>335</v>
      </c>
      <c r="D218" s="4">
        <v>28</v>
      </c>
      <c r="E218" s="4">
        <v>2</v>
      </c>
    </row>
    <row r="219" spans="1:5" x14ac:dyDescent="0.25">
      <c r="A219" s="4">
        <f t="shared" si="3"/>
        <v>218</v>
      </c>
      <c r="B219" s="4" t="s">
        <v>336</v>
      </c>
      <c r="C219" s="5" t="s">
        <v>337</v>
      </c>
      <c r="D219" s="4">
        <v>28</v>
      </c>
      <c r="E219" s="4">
        <v>4</v>
      </c>
    </row>
    <row r="220" spans="1:5" x14ac:dyDescent="0.25">
      <c r="A220" s="4">
        <f t="shared" si="3"/>
        <v>219</v>
      </c>
      <c r="B220" s="4" t="s">
        <v>338</v>
      </c>
      <c r="C220" s="5" t="s">
        <v>339</v>
      </c>
      <c r="D220" s="4">
        <v>28</v>
      </c>
      <c r="E220" s="4">
        <v>4</v>
      </c>
    </row>
    <row r="221" spans="1:5" x14ac:dyDescent="0.25">
      <c r="A221" s="4">
        <f t="shared" si="3"/>
        <v>220</v>
      </c>
      <c r="B221" s="4" t="s">
        <v>340</v>
      </c>
      <c r="C221" s="5" t="s">
        <v>341</v>
      </c>
      <c r="D221" s="4">
        <v>28</v>
      </c>
      <c r="E221" s="4">
        <v>4</v>
      </c>
    </row>
    <row r="222" spans="1:5" ht="141.75" x14ac:dyDescent="0.25">
      <c r="A222" s="4">
        <f t="shared" si="3"/>
        <v>221</v>
      </c>
      <c r="B222" s="4" t="s">
        <v>1565</v>
      </c>
      <c r="C222" s="5" t="s">
        <v>342</v>
      </c>
      <c r="D222" s="4">
        <v>28</v>
      </c>
      <c r="E222" s="4">
        <v>2</v>
      </c>
    </row>
    <row r="223" spans="1:5" ht="63" x14ac:dyDescent="0.25">
      <c r="A223" s="4">
        <f t="shared" si="3"/>
        <v>222</v>
      </c>
      <c r="B223" s="4" t="s">
        <v>1566</v>
      </c>
      <c r="C223" s="5" t="s">
        <v>343</v>
      </c>
      <c r="D223" s="4">
        <v>28</v>
      </c>
      <c r="E223" s="4">
        <v>2</v>
      </c>
    </row>
    <row r="224" spans="1:5" ht="110.25" x14ac:dyDescent="0.25">
      <c r="A224" s="4">
        <f t="shared" si="3"/>
        <v>223</v>
      </c>
      <c r="B224" s="4" t="s">
        <v>1567</v>
      </c>
      <c r="C224" s="5" t="s">
        <v>344</v>
      </c>
      <c r="D224" s="4">
        <v>28</v>
      </c>
      <c r="E224" s="4">
        <v>2</v>
      </c>
    </row>
    <row r="225" spans="1:5" ht="110.25" x14ac:dyDescent="0.25">
      <c r="A225" s="4">
        <f t="shared" si="3"/>
        <v>224</v>
      </c>
      <c r="B225" s="4" t="s">
        <v>1568</v>
      </c>
      <c r="C225" s="5" t="s">
        <v>345</v>
      </c>
      <c r="D225" s="4">
        <v>28</v>
      </c>
      <c r="E225" s="4">
        <v>2</v>
      </c>
    </row>
    <row r="226" spans="1:5" ht="63" x14ac:dyDescent="0.25">
      <c r="A226" s="4">
        <f t="shared" si="3"/>
        <v>225</v>
      </c>
      <c r="B226" s="4" t="s">
        <v>1569</v>
      </c>
      <c r="C226" s="5" t="s">
        <v>346</v>
      </c>
      <c r="D226" s="4">
        <v>28</v>
      </c>
      <c r="E226" s="4">
        <v>2</v>
      </c>
    </row>
    <row r="227" spans="1:5" ht="78.75" x14ac:dyDescent="0.25">
      <c r="A227" s="4">
        <f t="shared" si="3"/>
        <v>226</v>
      </c>
      <c r="B227" s="4" t="s">
        <v>1570</v>
      </c>
      <c r="C227" s="5" t="s">
        <v>347</v>
      </c>
      <c r="D227" s="4">
        <v>28</v>
      </c>
      <c r="E227" s="4">
        <v>2</v>
      </c>
    </row>
    <row r="228" spans="1:5" ht="267.75" x14ac:dyDescent="0.25">
      <c r="A228" s="4">
        <f t="shared" si="3"/>
        <v>227</v>
      </c>
      <c r="B228" s="4" t="s">
        <v>1571</v>
      </c>
      <c r="C228" s="5" t="s">
        <v>348</v>
      </c>
      <c r="D228" s="4">
        <v>28</v>
      </c>
      <c r="E228" s="4">
        <v>2</v>
      </c>
    </row>
    <row r="229" spans="1:5" ht="126" x14ac:dyDescent="0.25">
      <c r="A229" s="4">
        <f t="shared" si="3"/>
        <v>228</v>
      </c>
      <c r="B229" s="4" t="s">
        <v>349</v>
      </c>
      <c r="C229" s="5" t="s">
        <v>1257</v>
      </c>
      <c r="D229" s="4">
        <v>29</v>
      </c>
      <c r="E229" s="4">
        <v>3</v>
      </c>
    </row>
    <row r="230" spans="1:5" ht="78.75" x14ac:dyDescent="0.25">
      <c r="A230" s="4">
        <f t="shared" si="3"/>
        <v>229</v>
      </c>
      <c r="B230" s="4" t="s">
        <v>1572</v>
      </c>
      <c r="C230" s="5" t="s">
        <v>1259</v>
      </c>
      <c r="D230" s="4">
        <v>29</v>
      </c>
      <c r="E230" s="4">
        <v>2</v>
      </c>
    </row>
    <row r="231" spans="1:5" ht="31.5" x14ac:dyDescent="0.25">
      <c r="A231" s="4">
        <f t="shared" si="3"/>
        <v>230</v>
      </c>
      <c r="B231" s="4" t="s">
        <v>1573</v>
      </c>
      <c r="C231" s="5" t="s">
        <v>351</v>
      </c>
      <c r="D231" s="4">
        <v>29</v>
      </c>
      <c r="E231" s="4">
        <v>2</v>
      </c>
    </row>
    <row r="232" spans="1:5" ht="157.5" x14ac:dyDescent="0.25">
      <c r="A232" s="4">
        <f t="shared" si="3"/>
        <v>231</v>
      </c>
      <c r="B232" s="4" t="s">
        <v>352</v>
      </c>
      <c r="C232" s="5" t="s">
        <v>353</v>
      </c>
      <c r="D232" s="4">
        <v>29</v>
      </c>
      <c r="E232" s="4">
        <v>1</v>
      </c>
    </row>
    <row r="233" spans="1:5" ht="126" x14ac:dyDescent="0.25">
      <c r="A233" s="4">
        <f t="shared" si="3"/>
        <v>232</v>
      </c>
      <c r="B233" s="4" t="s">
        <v>354</v>
      </c>
      <c r="C233" s="5" t="s">
        <v>355</v>
      </c>
      <c r="D233" s="4">
        <v>29</v>
      </c>
      <c r="E233" s="4">
        <v>2</v>
      </c>
    </row>
    <row r="234" spans="1:5" ht="126" x14ac:dyDescent="0.25">
      <c r="A234" s="4">
        <f t="shared" si="3"/>
        <v>233</v>
      </c>
      <c r="B234" s="4" t="s">
        <v>356</v>
      </c>
      <c r="C234" s="5" t="s">
        <v>1258</v>
      </c>
      <c r="D234" s="4">
        <v>29</v>
      </c>
      <c r="E234" s="4">
        <v>3</v>
      </c>
    </row>
    <row r="235" spans="1:5" ht="78.75" x14ac:dyDescent="0.25">
      <c r="A235" s="4">
        <f t="shared" si="3"/>
        <v>234</v>
      </c>
      <c r="B235" s="4" t="s">
        <v>1574</v>
      </c>
      <c r="C235" s="5" t="s">
        <v>1260</v>
      </c>
      <c r="D235" s="4">
        <v>29</v>
      </c>
      <c r="E235" s="4">
        <v>2</v>
      </c>
    </row>
    <row r="236" spans="1:5" x14ac:dyDescent="0.25">
      <c r="A236" s="4">
        <f t="shared" si="3"/>
        <v>235</v>
      </c>
      <c r="B236" s="4" t="s">
        <v>357</v>
      </c>
      <c r="C236" s="5" t="s">
        <v>358</v>
      </c>
      <c r="D236" s="4">
        <v>29</v>
      </c>
      <c r="E236" s="4">
        <v>3</v>
      </c>
    </row>
    <row r="237" spans="1:5" ht="409.5" x14ac:dyDescent="0.25">
      <c r="A237" s="4">
        <f>ROW()-1</f>
        <v>236</v>
      </c>
      <c r="B237" s="5" t="s">
        <v>1578</v>
      </c>
      <c r="C237" s="5" t="s">
        <v>1580</v>
      </c>
      <c r="D237" s="4">
        <v>29</v>
      </c>
      <c r="E237" s="4">
        <v>2</v>
      </c>
    </row>
    <row r="238" spans="1:5" ht="78.75" x14ac:dyDescent="0.25">
      <c r="A238" s="4">
        <f t="shared" si="3"/>
        <v>237</v>
      </c>
      <c r="B238" s="4" t="s">
        <v>359</v>
      </c>
      <c r="C238" s="5" t="s">
        <v>1579</v>
      </c>
      <c r="D238" s="4">
        <v>29</v>
      </c>
      <c r="E238" s="4">
        <v>3</v>
      </c>
    </row>
    <row r="239" spans="1:5" ht="94.5" x14ac:dyDescent="0.25">
      <c r="A239" s="4">
        <f t="shared" si="3"/>
        <v>238</v>
      </c>
      <c r="B239" s="4" t="s">
        <v>1506</v>
      </c>
      <c r="C239" s="5" t="s">
        <v>1047</v>
      </c>
      <c r="D239" s="4">
        <v>26</v>
      </c>
      <c r="E239" s="4">
        <v>1</v>
      </c>
    </row>
    <row r="240" spans="1:5" ht="157.5" x14ac:dyDescent="0.25">
      <c r="A240" s="4">
        <f t="shared" si="3"/>
        <v>239</v>
      </c>
      <c r="B240" s="4" t="s">
        <v>1507</v>
      </c>
      <c r="C240" s="5" t="s">
        <v>360</v>
      </c>
      <c r="D240" s="4">
        <v>26</v>
      </c>
      <c r="E240" s="4">
        <v>2</v>
      </c>
    </row>
    <row r="241" spans="1:5" ht="126" x14ac:dyDescent="0.25">
      <c r="A241" s="4">
        <f t="shared" si="3"/>
        <v>240</v>
      </c>
      <c r="B241" s="4" t="s">
        <v>361</v>
      </c>
      <c r="C241" s="5" t="s">
        <v>362</v>
      </c>
      <c r="D241" s="4">
        <v>26</v>
      </c>
      <c r="E241" s="4">
        <v>1</v>
      </c>
    </row>
    <row r="242" spans="1:5" ht="409.5" x14ac:dyDescent="0.25">
      <c r="A242" s="4">
        <f t="shared" si="3"/>
        <v>241</v>
      </c>
      <c r="B242" s="4" t="s">
        <v>1508</v>
      </c>
      <c r="C242" s="5" t="s">
        <v>363</v>
      </c>
      <c r="D242" s="4">
        <v>26</v>
      </c>
      <c r="E242" s="4">
        <v>3</v>
      </c>
    </row>
    <row r="243" spans="1:5" ht="110.25" x14ac:dyDescent="0.25">
      <c r="A243" s="4">
        <f t="shared" si="3"/>
        <v>242</v>
      </c>
      <c r="B243" s="4" t="s">
        <v>1509</v>
      </c>
      <c r="C243" s="5" t="s">
        <v>364</v>
      </c>
      <c r="D243" s="4">
        <v>26</v>
      </c>
      <c r="E243" s="4">
        <v>3</v>
      </c>
    </row>
    <row r="244" spans="1:5" ht="110.25" x14ac:dyDescent="0.25">
      <c r="A244" s="4">
        <f t="shared" si="3"/>
        <v>243</v>
      </c>
      <c r="B244" s="4" t="s">
        <v>1510</v>
      </c>
      <c r="C244" s="5" t="s">
        <v>365</v>
      </c>
      <c r="D244" s="4">
        <v>26</v>
      </c>
      <c r="E244" s="4">
        <v>3</v>
      </c>
    </row>
    <row r="245" spans="1:5" ht="94.5" x14ac:dyDescent="0.25">
      <c r="A245" s="4">
        <f t="shared" si="3"/>
        <v>244</v>
      </c>
      <c r="B245" s="4" t="s">
        <v>1511</v>
      </c>
      <c r="C245" s="5" t="s">
        <v>366</v>
      </c>
      <c r="D245" s="4">
        <v>26</v>
      </c>
      <c r="E245" s="4">
        <v>3</v>
      </c>
    </row>
    <row r="246" spans="1:5" ht="94.5" x14ac:dyDescent="0.25">
      <c r="A246" s="4">
        <f t="shared" si="3"/>
        <v>245</v>
      </c>
      <c r="B246" s="4" t="s">
        <v>1512</v>
      </c>
      <c r="C246" s="5" t="s">
        <v>367</v>
      </c>
      <c r="D246" s="4">
        <v>26</v>
      </c>
      <c r="E246" s="4">
        <v>3</v>
      </c>
    </row>
    <row r="247" spans="1:5" ht="31.5" x14ac:dyDescent="0.25">
      <c r="A247" s="4">
        <f t="shared" si="3"/>
        <v>246</v>
      </c>
      <c r="B247" s="4" t="s">
        <v>368</v>
      </c>
      <c r="C247" s="5" t="s">
        <v>369</v>
      </c>
      <c r="D247" s="4">
        <v>26</v>
      </c>
      <c r="E247" s="4">
        <v>3</v>
      </c>
    </row>
    <row r="248" spans="1:5" ht="94.5" x14ac:dyDescent="0.25">
      <c r="A248" s="4">
        <f t="shared" si="3"/>
        <v>247</v>
      </c>
      <c r="B248" s="4" t="s">
        <v>1513</v>
      </c>
      <c r="C248" s="5" t="s">
        <v>1048</v>
      </c>
      <c r="D248" s="4">
        <v>26</v>
      </c>
      <c r="E248" s="4">
        <v>2</v>
      </c>
    </row>
    <row r="249" spans="1:5" ht="157.5" x14ac:dyDescent="0.25">
      <c r="A249" s="4">
        <f t="shared" si="3"/>
        <v>248</v>
      </c>
      <c r="B249" s="4" t="s">
        <v>1514</v>
      </c>
      <c r="C249" s="5" t="s">
        <v>1049</v>
      </c>
      <c r="D249" s="4">
        <v>26</v>
      </c>
      <c r="E249" s="4">
        <v>2</v>
      </c>
    </row>
    <row r="250" spans="1:5" ht="157.5" x14ac:dyDescent="0.25">
      <c r="A250" s="4">
        <f t="shared" si="3"/>
        <v>249</v>
      </c>
      <c r="B250" s="4" t="s">
        <v>1515</v>
      </c>
      <c r="C250" s="5" t="s">
        <v>1244</v>
      </c>
      <c r="D250" s="4">
        <v>26</v>
      </c>
      <c r="E250" s="4">
        <v>2</v>
      </c>
    </row>
    <row r="251" spans="1:5" ht="252" x14ac:dyDescent="0.25">
      <c r="A251" s="4">
        <f t="shared" si="3"/>
        <v>250</v>
      </c>
      <c r="B251" s="4" t="s">
        <v>1516</v>
      </c>
      <c r="C251" s="5" t="s">
        <v>1243</v>
      </c>
      <c r="D251" s="4">
        <v>26</v>
      </c>
      <c r="E251" s="4">
        <v>2</v>
      </c>
    </row>
    <row r="252" spans="1:5" ht="236.25" x14ac:dyDescent="0.25">
      <c r="A252" s="4">
        <f t="shared" si="3"/>
        <v>251</v>
      </c>
      <c r="B252" s="4" t="s">
        <v>1517</v>
      </c>
      <c r="C252" s="5" t="s">
        <v>1242</v>
      </c>
      <c r="D252" s="4">
        <v>26</v>
      </c>
      <c r="E252" s="4">
        <v>2</v>
      </c>
    </row>
    <row r="253" spans="1:5" ht="110.25" x14ac:dyDescent="0.25">
      <c r="A253" s="4">
        <f t="shared" si="3"/>
        <v>252</v>
      </c>
      <c r="B253" s="4" t="s">
        <v>1518</v>
      </c>
      <c r="C253" s="5" t="s">
        <v>1245</v>
      </c>
      <c r="D253" s="4">
        <v>26</v>
      </c>
      <c r="E253" s="4">
        <v>2</v>
      </c>
    </row>
    <row r="254" spans="1:5" ht="110.25" x14ac:dyDescent="0.25">
      <c r="A254" s="4">
        <f t="shared" si="3"/>
        <v>253</v>
      </c>
      <c r="B254" s="4" t="s">
        <v>1519</v>
      </c>
      <c r="C254" s="5" t="s">
        <v>1246</v>
      </c>
      <c r="D254" s="4">
        <v>26</v>
      </c>
      <c r="E254" s="4">
        <v>2</v>
      </c>
    </row>
    <row r="255" spans="1:5" ht="110.25" x14ac:dyDescent="0.25">
      <c r="A255" s="4">
        <f t="shared" si="3"/>
        <v>254</v>
      </c>
      <c r="B255" s="4" t="s">
        <v>1314</v>
      </c>
      <c r="C255" s="5" t="s">
        <v>370</v>
      </c>
      <c r="D255" s="4">
        <v>26</v>
      </c>
      <c r="E255" s="4">
        <v>2</v>
      </c>
    </row>
    <row r="256" spans="1:5" ht="94.5" x14ac:dyDescent="0.25">
      <c r="A256" s="4">
        <f t="shared" si="3"/>
        <v>255</v>
      </c>
      <c r="B256" s="4" t="s">
        <v>371</v>
      </c>
      <c r="C256" s="5" t="s">
        <v>372</v>
      </c>
      <c r="D256" s="4">
        <v>26</v>
      </c>
      <c r="E256" s="4">
        <v>1</v>
      </c>
    </row>
    <row r="257" spans="1:5" ht="315" x14ac:dyDescent="0.25">
      <c r="A257" s="4">
        <f t="shared" si="3"/>
        <v>256</v>
      </c>
      <c r="B257" s="4" t="s">
        <v>1520</v>
      </c>
      <c r="C257" s="5" t="s">
        <v>1050</v>
      </c>
      <c r="D257" s="4">
        <v>26</v>
      </c>
      <c r="E257" s="4">
        <v>1</v>
      </c>
    </row>
    <row r="258" spans="1:5" x14ac:dyDescent="0.25">
      <c r="A258" s="4">
        <f t="shared" si="3"/>
        <v>257</v>
      </c>
      <c r="B258" s="4" t="s">
        <v>373</v>
      </c>
      <c r="C258" s="5" t="s">
        <v>374</v>
      </c>
      <c r="D258" s="4">
        <v>26</v>
      </c>
      <c r="E258" s="4">
        <v>4</v>
      </c>
    </row>
    <row r="259" spans="1:5" ht="299.25" x14ac:dyDescent="0.25">
      <c r="A259" s="4">
        <f t="shared" si="3"/>
        <v>258</v>
      </c>
      <c r="B259" s="4" t="s">
        <v>1521</v>
      </c>
      <c r="C259" s="5" t="s">
        <v>375</v>
      </c>
      <c r="D259" s="4">
        <v>26</v>
      </c>
      <c r="E259" s="4">
        <v>2</v>
      </c>
    </row>
    <row r="260" spans="1:5" ht="63" x14ac:dyDescent="0.25">
      <c r="A260" s="4">
        <f t="shared" si="3"/>
        <v>259</v>
      </c>
      <c r="B260" s="4" t="s">
        <v>1522</v>
      </c>
      <c r="C260" s="5" t="s">
        <v>376</v>
      </c>
      <c r="D260" s="4">
        <v>26</v>
      </c>
      <c r="E260" s="4">
        <v>2</v>
      </c>
    </row>
    <row r="261" spans="1:5" ht="94.5" x14ac:dyDescent="0.25">
      <c r="A261" s="4">
        <f t="shared" si="3"/>
        <v>260</v>
      </c>
      <c r="B261" s="4" t="s">
        <v>1523</v>
      </c>
      <c r="C261" s="5" t="s">
        <v>377</v>
      </c>
      <c r="D261" s="4">
        <v>26</v>
      </c>
      <c r="E261" s="4">
        <v>2</v>
      </c>
    </row>
    <row r="262" spans="1:5" ht="78.75" x14ac:dyDescent="0.25">
      <c r="A262" s="4">
        <f t="shared" ref="A262:A327" si="4">ROW()-1</f>
        <v>261</v>
      </c>
      <c r="B262" s="4" t="s">
        <v>1524</v>
      </c>
      <c r="C262" s="5" t="s">
        <v>378</v>
      </c>
      <c r="D262" s="4">
        <v>26</v>
      </c>
      <c r="E262" s="4">
        <v>2</v>
      </c>
    </row>
    <row r="263" spans="1:5" ht="78.75" x14ac:dyDescent="0.25">
      <c r="A263" s="4">
        <f t="shared" si="4"/>
        <v>262</v>
      </c>
      <c r="B263" s="4" t="s">
        <v>1525</v>
      </c>
      <c r="C263" s="5" t="s">
        <v>379</v>
      </c>
      <c r="D263" s="4">
        <v>26</v>
      </c>
      <c r="E263" s="4">
        <v>2</v>
      </c>
    </row>
    <row r="264" spans="1:5" ht="204.75" x14ac:dyDescent="0.25">
      <c r="A264" s="4">
        <f t="shared" si="4"/>
        <v>263</v>
      </c>
      <c r="B264" s="4" t="s">
        <v>1526</v>
      </c>
      <c r="C264" s="5" t="s">
        <v>380</v>
      </c>
      <c r="D264" s="4">
        <v>26</v>
      </c>
      <c r="E264" s="4">
        <v>1</v>
      </c>
    </row>
    <row r="265" spans="1:5" ht="63" x14ac:dyDescent="0.25">
      <c r="A265" s="4">
        <f t="shared" si="4"/>
        <v>264</v>
      </c>
      <c r="B265" s="4" t="s">
        <v>1527</v>
      </c>
      <c r="C265" s="5" t="s">
        <v>381</v>
      </c>
      <c r="D265" s="4">
        <v>26</v>
      </c>
      <c r="E265" s="4">
        <v>2</v>
      </c>
    </row>
    <row r="266" spans="1:5" ht="63" x14ac:dyDescent="0.25">
      <c r="A266" s="4">
        <f t="shared" si="4"/>
        <v>265</v>
      </c>
      <c r="B266" s="4" t="s">
        <v>382</v>
      </c>
      <c r="C266" s="5" t="s">
        <v>383</v>
      </c>
      <c r="D266" s="4">
        <v>26</v>
      </c>
      <c r="E266" s="4">
        <v>1</v>
      </c>
    </row>
    <row r="267" spans="1:5" ht="126" x14ac:dyDescent="0.25">
      <c r="A267" s="4">
        <f t="shared" si="4"/>
        <v>266</v>
      </c>
      <c r="B267" s="4" t="s">
        <v>1528</v>
      </c>
      <c r="C267" s="5" t="s">
        <v>384</v>
      </c>
      <c r="D267" s="4">
        <v>26</v>
      </c>
      <c r="E267" s="4">
        <v>2</v>
      </c>
    </row>
    <row r="268" spans="1:5" ht="47.25" x14ac:dyDescent="0.25">
      <c r="A268" s="4">
        <f t="shared" si="4"/>
        <v>267</v>
      </c>
      <c r="B268" s="4" t="s">
        <v>349</v>
      </c>
      <c r="C268" s="5" t="s">
        <v>385</v>
      </c>
      <c r="D268" s="4">
        <v>26</v>
      </c>
      <c r="E268" s="4">
        <v>4</v>
      </c>
    </row>
    <row r="269" spans="1:5" ht="94.5" x14ac:dyDescent="0.25">
      <c r="A269" s="4">
        <f t="shared" si="4"/>
        <v>268</v>
      </c>
      <c r="B269" s="4" t="s">
        <v>1529</v>
      </c>
      <c r="C269" s="5" t="s">
        <v>386</v>
      </c>
      <c r="D269" s="4">
        <v>26</v>
      </c>
      <c r="E269" s="4">
        <v>2</v>
      </c>
    </row>
    <row r="270" spans="1:5" ht="31.5" x14ac:dyDescent="0.25">
      <c r="A270" s="4">
        <f t="shared" si="4"/>
        <v>269</v>
      </c>
      <c r="B270" s="4" t="s">
        <v>1530</v>
      </c>
      <c r="C270" s="5" t="s">
        <v>387</v>
      </c>
      <c r="D270" s="4">
        <v>26</v>
      </c>
      <c r="E270" s="4">
        <v>2</v>
      </c>
    </row>
    <row r="271" spans="1:5" ht="31.5" x14ac:dyDescent="0.25">
      <c r="A271" s="4">
        <f t="shared" si="4"/>
        <v>270</v>
      </c>
      <c r="B271" s="4" t="s">
        <v>1531</v>
      </c>
      <c r="C271" s="5" t="s">
        <v>388</v>
      </c>
      <c r="D271" s="4">
        <v>26</v>
      </c>
      <c r="E271" s="4">
        <v>2</v>
      </c>
    </row>
    <row r="272" spans="1:5" x14ac:dyDescent="0.25">
      <c r="A272" s="4">
        <f t="shared" si="4"/>
        <v>271</v>
      </c>
      <c r="B272" s="4" t="s">
        <v>389</v>
      </c>
      <c r="C272" s="5" t="s">
        <v>220</v>
      </c>
      <c r="D272" s="4">
        <v>26</v>
      </c>
      <c r="E272" s="4">
        <v>4</v>
      </c>
    </row>
    <row r="273" spans="1:5" x14ac:dyDescent="0.25">
      <c r="A273" s="4">
        <f t="shared" si="4"/>
        <v>272</v>
      </c>
      <c r="B273" s="4" t="s">
        <v>390</v>
      </c>
      <c r="C273" s="5" t="s">
        <v>220</v>
      </c>
      <c r="D273" s="4">
        <v>26</v>
      </c>
      <c r="E273" s="4">
        <v>4</v>
      </c>
    </row>
    <row r="274" spans="1:5" x14ac:dyDescent="0.25">
      <c r="A274" s="4">
        <f t="shared" si="4"/>
        <v>273</v>
      </c>
      <c r="B274" s="4" t="s">
        <v>391</v>
      </c>
      <c r="C274" s="5" t="s">
        <v>220</v>
      </c>
      <c r="D274" s="4">
        <v>26</v>
      </c>
      <c r="E274" s="4">
        <v>4</v>
      </c>
    </row>
    <row r="275" spans="1:5" x14ac:dyDescent="0.25">
      <c r="A275" s="4">
        <f t="shared" si="4"/>
        <v>274</v>
      </c>
      <c r="B275" s="4" t="s">
        <v>392</v>
      </c>
      <c r="C275" s="5" t="s">
        <v>393</v>
      </c>
      <c r="D275" s="4">
        <v>26</v>
      </c>
      <c r="E275" s="4">
        <v>4</v>
      </c>
    </row>
    <row r="276" spans="1:5" x14ac:dyDescent="0.25">
      <c r="A276" s="4">
        <f t="shared" si="4"/>
        <v>275</v>
      </c>
      <c r="B276" s="4" t="s">
        <v>394</v>
      </c>
      <c r="C276" s="5" t="s">
        <v>220</v>
      </c>
      <c r="D276" s="4">
        <v>26</v>
      </c>
      <c r="E276" s="4">
        <v>4</v>
      </c>
    </row>
    <row r="277" spans="1:5" x14ac:dyDescent="0.25">
      <c r="A277" s="4">
        <f t="shared" si="4"/>
        <v>276</v>
      </c>
      <c r="B277" s="4" t="s">
        <v>395</v>
      </c>
      <c r="C277" s="5" t="s">
        <v>220</v>
      </c>
      <c r="D277" s="4">
        <v>26</v>
      </c>
      <c r="E277" s="4">
        <v>4</v>
      </c>
    </row>
    <row r="278" spans="1:5" x14ac:dyDescent="0.25">
      <c r="A278" s="4">
        <f t="shared" si="4"/>
        <v>277</v>
      </c>
      <c r="B278" s="4" t="s">
        <v>396</v>
      </c>
      <c r="C278" s="5" t="s">
        <v>220</v>
      </c>
      <c r="D278" s="4">
        <v>26</v>
      </c>
      <c r="E278" s="4">
        <v>4</v>
      </c>
    </row>
    <row r="279" spans="1:5" x14ac:dyDescent="0.25">
      <c r="A279" s="4">
        <f t="shared" si="4"/>
        <v>278</v>
      </c>
      <c r="B279" s="4" t="s">
        <v>1120</v>
      </c>
      <c r="C279" s="5" t="s">
        <v>220</v>
      </c>
      <c r="D279" s="4">
        <v>26</v>
      </c>
      <c r="E279" s="4">
        <v>4</v>
      </c>
    </row>
    <row r="280" spans="1:5" x14ac:dyDescent="0.25">
      <c r="A280" s="4">
        <f t="shared" si="4"/>
        <v>279</v>
      </c>
      <c r="B280" s="4" t="s">
        <v>397</v>
      </c>
      <c r="C280" s="5" t="s">
        <v>220</v>
      </c>
      <c r="D280" s="4">
        <v>26</v>
      </c>
      <c r="E280" s="4">
        <v>4</v>
      </c>
    </row>
    <row r="281" spans="1:5" ht="47.25" x14ac:dyDescent="0.25">
      <c r="A281" s="4">
        <f t="shared" si="4"/>
        <v>280</v>
      </c>
      <c r="B281" s="4" t="s">
        <v>1037</v>
      </c>
      <c r="C281" s="5" t="s">
        <v>398</v>
      </c>
      <c r="D281" s="4">
        <v>8</v>
      </c>
      <c r="E281" s="4">
        <v>1</v>
      </c>
    </row>
    <row r="282" spans="1:5" ht="31.5" x14ac:dyDescent="0.25">
      <c r="A282" s="4">
        <f>ROW()-1</f>
        <v>281</v>
      </c>
      <c r="B282" s="4" t="s">
        <v>1113</v>
      </c>
      <c r="C282" s="5" t="s">
        <v>1114</v>
      </c>
      <c r="D282" s="4">
        <v>8</v>
      </c>
      <c r="E282" s="4">
        <v>1</v>
      </c>
    </row>
    <row r="283" spans="1:5" ht="78.75" x14ac:dyDescent="0.25">
      <c r="A283" s="4">
        <f t="shared" si="4"/>
        <v>282</v>
      </c>
      <c r="B283" s="4" t="s">
        <v>1276</v>
      </c>
      <c r="C283" s="5" t="s">
        <v>399</v>
      </c>
      <c r="D283" s="4">
        <v>8</v>
      </c>
      <c r="E283" s="4">
        <v>2</v>
      </c>
    </row>
    <row r="284" spans="1:5" ht="315" x14ac:dyDescent="0.25">
      <c r="A284" s="4">
        <f t="shared" si="4"/>
        <v>283</v>
      </c>
      <c r="B284" s="4" t="s">
        <v>1277</v>
      </c>
      <c r="C284" s="5" t="s">
        <v>400</v>
      </c>
      <c r="D284" s="4">
        <v>8</v>
      </c>
      <c r="E284" s="4">
        <v>2</v>
      </c>
    </row>
    <row r="285" spans="1:5" ht="409.5" x14ac:dyDescent="0.25">
      <c r="A285" s="4">
        <f t="shared" si="4"/>
        <v>284</v>
      </c>
      <c r="B285" s="4" t="s">
        <v>1278</v>
      </c>
      <c r="C285" s="5" t="s">
        <v>401</v>
      </c>
      <c r="D285" s="4">
        <v>8</v>
      </c>
      <c r="E285" s="4">
        <v>2</v>
      </c>
    </row>
    <row r="286" spans="1:5" ht="409.5" x14ac:dyDescent="0.25">
      <c r="A286" s="4">
        <f t="shared" si="4"/>
        <v>285</v>
      </c>
      <c r="B286" s="4" t="s">
        <v>1279</v>
      </c>
      <c r="C286" s="5" t="s">
        <v>402</v>
      </c>
      <c r="D286" s="4">
        <v>8</v>
      </c>
      <c r="E286" s="4">
        <v>2</v>
      </c>
    </row>
    <row r="287" spans="1:5" ht="409.5" x14ac:dyDescent="0.25">
      <c r="A287" s="4">
        <f t="shared" si="4"/>
        <v>286</v>
      </c>
      <c r="B287" s="4" t="s">
        <v>1280</v>
      </c>
      <c r="C287" s="5" t="s">
        <v>403</v>
      </c>
      <c r="D287" s="4">
        <v>8</v>
      </c>
      <c r="E287" s="4">
        <v>2</v>
      </c>
    </row>
    <row r="288" spans="1:5" ht="409.5" x14ac:dyDescent="0.25">
      <c r="A288" s="4">
        <f t="shared" si="4"/>
        <v>287</v>
      </c>
      <c r="B288" s="4" t="s">
        <v>1281</v>
      </c>
      <c r="C288" s="5" t="s">
        <v>404</v>
      </c>
      <c r="D288" s="4">
        <v>8</v>
      </c>
      <c r="E288" s="4">
        <v>2</v>
      </c>
    </row>
    <row r="289" spans="1:5" ht="110.25" x14ac:dyDescent="0.25">
      <c r="A289" s="4">
        <f t="shared" si="4"/>
        <v>288</v>
      </c>
      <c r="B289" s="4" t="s">
        <v>1282</v>
      </c>
      <c r="C289" s="5" t="s">
        <v>405</v>
      </c>
      <c r="D289" s="4">
        <v>8</v>
      </c>
      <c r="E289" s="4">
        <v>2</v>
      </c>
    </row>
    <row r="290" spans="1:5" ht="315" x14ac:dyDescent="0.25">
      <c r="A290" s="4">
        <f t="shared" si="4"/>
        <v>289</v>
      </c>
      <c r="B290" s="4" t="s">
        <v>406</v>
      </c>
      <c r="C290" s="5" t="s">
        <v>407</v>
      </c>
      <c r="D290" s="4">
        <v>8</v>
      </c>
      <c r="E290" s="4">
        <v>2</v>
      </c>
    </row>
    <row r="291" spans="1:5" ht="78.75" x14ac:dyDescent="0.25">
      <c r="A291" s="4">
        <f t="shared" si="4"/>
        <v>290</v>
      </c>
      <c r="B291" s="4" t="s">
        <v>368</v>
      </c>
      <c r="C291" s="5" t="s">
        <v>408</v>
      </c>
      <c r="D291" s="4">
        <v>8</v>
      </c>
      <c r="E291" s="4">
        <v>2</v>
      </c>
    </row>
    <row r="292" spans="1:5" ht="110.25" x14ac:dyDescent="0.25">
      <c r="A292" s="4">
        <f t="shared" si="4"/>
        <v>291</v>
      </c>
      <c r="B292" s="4" t="s">
        <v>1283</v>
      </c>
      <c r="C292" s="5" t="s">
        <v>1038</v>
      </c>
      <c r="D292" s="4">
        <v>8</v>
      </c>
      <c r="E292" s="4">
        <v>2</v>
      </c>
    </row>
    <row r="293" spans="1:5" ht="63" x14ac:dyDescent="0.25">
      <c r="A293" s="4">
        <f t="shared" si="4"/>
        <v>292</v>
      </c>
      <c r="B293" s="4" t="s">
        <v>409</v>
      </c>
      <c r="C293" s="5" t="s">
        <v>1039</v>
      </c>
      <c r="D293" s="4">
        <v>8</v>
      </c>
      <c r="E293" s="4">
        <v>2</v>
      </c>
    </row>
    <row r="294" spans="1:5" ht="31.5" x14ac:dyDescent="0.25">
      <c r="A294" s="4">
        <f t="shared" si="4"/>
        <v>293</v>
      </c>
      <c r="B294" s="4" t="s">
        <v>410</v>
      </c>
      <c r="C294" s="5" t="s">
        <v>1040</v>
      </c>
      <c r="D294" s="4">
        <v>8</v>
      </c>
      <c r="E294" s="4">
        <v>2</v>
      </c>
    </row>
    <row r="295" spans="1:5" ht="63" x14ac:dyDescent="0.25">
      <c r="A295" s="4">
        <f t="shared" si="4"/>
        <v>294</v>
      </c>
      <c r="B295" s="4" t="s">
        <v>1284</v>
      </c>
      <c r="C295" s="5" t="s">
        <v>411</v>
      </c>
      <c r="D295" s="4">
        <v>8</v>
      </c>
      <c r="E295" s="4">
        <v>2</v>
      </c>
    </row>
    <row r="296" spans="1:5" ht="31.5" x14ac:dyDescent="0.25">
      <c r="A296" s="4">
        <f t="shared" si="4"/>
        <v>295</v>
      </c>
      <c r="B296" s="4" t="s">
        <v>412</v>
      </c>
      <c r="C296" s="5" t="s">
        <v>413</v>
      </c>
      <c r="D296" s="4">
        <v>8</v>
      </c>
      <c r="E296" s="4">
        <v>2</v>
      </c>
    </row>
    <row r="297" spans="1:5" ht="31.5" x14ac:dyDescent="0.25">
      <c r="A297" s="4">
        <f t="shared" si="4"/>
        <v>296</v>
      </c>
      <c r="B297" s="4" t="s">
        <v>414</v>
      </c>
      <c r="C297" s="5" t="s">
        <v>415</v>
      </c>
      <c r="D297" s="4">
        <v>8</v>
      </c>
      <c r="E297" s="4">
        <v>2</v>
      </c>
    </row>
    <row r="298" spans="1:5" ht="94.5" x14ac:dyDescent="0.25">
      <c r="A298" s="4">
        <f t="shared" si="4"/>
        <v>297</v>
      </c>
      <c r="B298" s="4" t="s">
        <v>1285</v>
      </c>
      <c r="C298" s="5" t="s">
        <v>1101</v>
      </c>
      <c r="D298" s="4">
        <v>8</v>
      </c>
      <c r="E298" s="4">
        <v>2</v>
      </c>
    </row>
    <row r="299" spans="1:5" ht="78.75" x14ac:dyDescent="0.25">
      <c r="A299" s="4">
        <f t="shared" si="4"/>
        <v>298</v>
      </c>
      <c r="B299" s="4" t="s">
        <v>1286</v>
      </c>
      <c r="C299" s="5" t="s">
        <v>1102</v>
      </c>
      <c r="D299" s="4">
        <v>8</v>
      </c>
      <c r="E299" s="4">
        <v>2</v>
      </c>
    </row>
    <row r="300" spans="1:5" ht="78.75" x14ac:dyDescent="0.25">
      <c r="A300" s="4">
        <f t="shared" si="4"/>
        <v>299</v>
      </c>
      <c r="B300" s="4" t="s">
        <v>1287</v>
      </c>
      <c r="C300" s="5" t="s">
        <v>1103</v>
      </c>
      <c r="D300" s="4">
        <v>8</v>
      </c>
      <c r="E300" s="4">
        <v>2</v>
      </c>
    </row>
    <row r="301" spans="1:5" ht="110.25" x14ac:dyDescent="0.25">
      <c r="A301" s="4">
        <f t="shared" si="4"/>
        <v>300</v>
      </c>
      <c r="B301" s="4" t="s">
        <v>1288</v>
      </c>
      <c r="C301" s="5" t="s">
        <v>1104</v>
      </c>
      <c r="D301" s="4">
        <v>8</v>
      </c>
      <c r="E301" s="4">
        <v>2</v>
      </c>
    </row>
    <row r="302" spans="1:5" ht="63" x14ac:dyDescent="0.25">
      <c r="A302" s="4">
        <f t="shared" si="4"/>
        <v>301</v>
      </c>
      <c r="B302" s="4" t="s">
        <v>1289</v>
      </c>
      <c r="C302" s="5" t="s">
        <v>1105</v>
      </c>
      <c r="D302" s="4">
        <v>8</v>
      </c>
      <c r="E302" s="4">
        <v>2</v>
      </c>
    </row>
    <row r="303" spans="1:5" ht="63" x14ac:dyDescent="0.25">
      <c r="A303" s="4">
        <f t="shared" si="4"/>
        <v>302</v>
      </c>
      <c r="B303" s="4" t="s">
        <v>1290</v>
      </c>
      <c r="C303" s="5" t="s">
        <v>1106</v>
      </c>
      <c r="D303" s="4">
        <v>8</v>
      </c>
      <c r="E303" s="4">
        <v>2</v>
      </c>
    </row>
    <row r="304" spans="1:5" ht="126" x14ac:dyDescent="0.25">
      <c r="A304" s="4">
        <f t="shared" si="4"/>
        <v>303</v>
      </c>
      <c r="B304" s="4" t="s">
        <v>417</v>
      </c>
      <c r="C304" s="5" t="s">
        <v>1107</v>
      </c>
      <c r="D304" s="4">
        <v>8</v>
      </c>
      <c r="E304" s="4">
        <v>2</v>
      </c>
    </row>
    <row r="305" spans="1:5" x14ac:dyDescent="0.25">
      <c r="A305" s="4">
        <f t="shared" si="4"/>
        <v>304</v>
      </c>
      <c r="B305" s="4" t="s">
        <v>418</v>
      </c>
      <c r="C305" s="5" t="s">
        <v>419</v>
      </c>
      <c r="D305" s="4">
        <v>8</v>
      </c>
      <c r="E305" s="4">
        <v>4</v>
      </c>
    </row>
    <row r="306" spans="1:5" x14ac:dyDescent="0.25">
      <c r="A306" s="4">
        <f>ROW()-1</f>
        <v>305</v>
      </c>
      <c r="B306" s="4" t="s">
        <v>1108</v>
      </c>
      <c r="C306" s="5" t="s">
        <v>1110</v>
      </c>
      <c r="D306" s="4">
        <v>8</v>
      </c>
      <c r="E306" s="4">
        <v>2</v>
      </c>
    </row>
    <row r="307" spans="1:5" x14ac:dyDescent="0.25">
      <c r="A307" s="4">
        <f t="shared" si="4"/>
        <v>306</v>
      </c>
      <c r="B307" s="4" t="s">
        <v>1109</v>
      </c>
      <c r="C307" s="5" t="s">
        <v>1111</v>
      </c>
      <c r="D307" s="4">
        <v>8</v>
      </c>
      <c r="E307" s="4">
        <v>2</v>
      </c>
    </row>
    <row r="308" spans="1:5" ht="204.75" x14ac:dyDescent="0.25">
      <c r="A308" s="4">
        <f t="shared" si="4"/>
        <v>307</v>
      </c>
      <c r="B308" s="4" t="s">
        <v>1291</v>
      </c>
      <c r="C308" s="5" t="s">
        <v>420</v>
      </c>
      <c r="D308" s="4">
        <v>8</v>
      </c>
      <c r="E308" s="4">
        <v>2</v>
      </c>
    </row>
    <row r="309" spans="1:5" ht="31.5" x14ac:dyDescent="0.25">
      <c r="A309" s="4">
        <f t="shared" si="4"/>
        <v>308</v>
      </c>
      <c r="B309" s="4" t="s">
        <v>300</v>
      </c>
      <c r="C309" s="5" t="s">
        <v>421</v>
      </c>
      <c r="D309" s="4">
        <v>8</v>
      </c>
      <c r="E309" s="4">
        <v>4</v>
      </c>
    </row>
    <row r="310" spans="1:5" ht="94.5" x14ac:dyDescent="0.25">
      <c r="A310" s="4">
        <f t="shared" si="4"/>
        <v>309</v>
      </c>
      <c r="B310" s="4" t="s">
        <v>422</v>
      </c>
      <c r="C310" s="5" t="s">
        <v>423</v>
      </c>
      <c r="D310" s="4">
        <v>8</v>
      </c>
      <c r="E310" s="4">
        <v>1</v>
      </c>
    </row>
    <row r="311" spans="1:5" ht="204.75" x14ac:dyDescent="0.25">
      <c r="A311" s="4">
        <f t="shared" si="4"/>
        <v>310</v>
      </c>
      <c r="B311" s="4" t="s">
        <v>1292</v>
      </c>
      <c r="C311" s="5" t="s">
        <v>424</v>
      </c>
      <c r="D311" s="4">
        <v>8</v>
      </c>
      <c r="E311" s="4">
        <v>2</v>
      </c>
    </row>
    <row r="312" spans="1:5" x14ac:dyDescent="0.25">
      <c r="A312" s="4">
        <f t="shared" si="4"/>
        <v>311</v>
      </c>
      <c r="B312" s="4" t="s">
        <v>425</v>
      </c>
      <c r="C312" s="5" t="s">
        <v>1112</v>
      </c>
      <c r="D312" s="4">
        <v>8</v>
      </c>
      <c r="E312" s="4">
        <v>4</v>
      </c>
    </row>
    <row r="313" spans="1:5" ht="78.75" x14ac:dyDescent="0.25">
      <c r="A313" s="4">
        <f t="shared" si="4"/>
        <v>312</v>
      </c>
      <c r="B313" s="4" t="s">
        <v>426</v>
      </c>
      <c r="C313" s="5" t="s">
        <v>427</v>
      </c>
      <c r="D313" s="4">
        <v>8</v>
      </c>
      <c r="E313" s="4">
        <v>2</v>
      </c>
    </row>
    <row r="314" spans="1:5" ht="173.25" x14ac:dyDescent="0.25">
      <c r="A314" s="4">
        <f t="shared" si="4"/>
        <v>313</v>
      </c>
      <c r="B314" s="4" t="s">
        <v>1293</v>
      </c>
      <c r="C314" s="5" t="s">
        <v>428</v>
      </c>
      <c r="D314" s="4">
        <v>8</v>
      </c>
      <c r="E314" s="4">
        <v>2</v>
      </c>
    </row>
    <row r="315" spans="1:5" ht="393.75" x14ac:dyDescent="0.25">
      <c r="A315" s="4">
        <f t="shared" si="4"/>
        <v>314</v>
      </c>
      <c r="B315" s="4" t="s">
        <v>1294</v>
      </c>
      <c r="C315" s="5" t="s">
        <v>429</v>
      </c>
      <c r="D315" s="4">
        <v>8</v>
      </c>
      <c r="E315" s="4">
        <v>2</v>
      </c>
    </row>
    <row r="316" spans="1:5" ht="236.25" x14ac:dyDescent="0.25">
      <c r="A316" s="4">
        <f t="shared" si="4"/>
        <v>315</v>
      </c>
      <c r="B316" s="4" t="s">
        <v>1295</v>
      </c>
      <c r="C316" s="5" t="s">
        <v>430</v>
      </c>
      <c r="D316" s="4">
        <v>8</v>
      </c>
      <c r="E316" s="4">
        <v>2</v>
      </c>
    </row>
    <row r="317" spans="1:5" x14ac:dyDescent="0.25">
      <c r="A317" s="4">
        <f t="shared" si="4"/>
        <v>316</v>
      </c>
      <c r="B317" s="4" t="s">
        <v>431</v>
      </c>
      <c r="C317" s="5" t="s">
        <v>432</v>
      </c>
      <c r="D317" s="4">
        <v>8</v>
      </c>
      <c r="E317" s="4">
        <v>2</v>
      </c>
    </row>
    <row r="318" spans="1:5" x14ac:dyDescent="0.25">
      <c r="A318" s="4">
        <f t="shared" si="4"/>
        <v>317</v>
      </c>
      <c r="B318" s="4" t="s">
        <v>433</v>
      </c>
      <c r="C318" s="5" t="s">
        <v>434</v>
      </c>
      <c r="D318" s="4">
        <v>8</v>
      </c>
      <c r="E318" s="4">
        <v>4</v>
      </c>
    </row>
    <row r="319" spans="1:5" x14ac:dyDescent="0.25">
      <c r="A319" s="4">
        <f t="shared" si="4"/>
        <v>318</v>
      </c>
      <c r="B319" s="4" t="s">
        <v>435</v>
      </c>
      <c r="C319" s="5" t="s">
        <v>436</v>
      </c>
      <c r="D319" s="4">
        <v>8</v>
      </c>
      <c r="E319" s="4">
        <v>4</v>
      </c>
    </row>
    <row r="320" spans="1:5" ht="173.25" x14ac:dyDescent="0.25">
      <c r="A320" s="4">
        <f t="shared" si="4"/>
        <v>319</v>
      </c>
      <c r="B320" s="4" t="s">
        <v>437</v>
      </c>
      <c r="C320" s="5" t="s">
        <v>438</v>
      </c>
      <c r="D320" s="4">
        <v>8</v>
      </c>
      <c r="E320" s="4">
        <v>1</v>
      </c>
    </row>
    <row r="321" spans="1:5" ht="31.5" x14ac:dyDescent="0.25">
      <c r="A321" s="4">
        <f t="shared" si="4"/>
        <v>320</v>
      </c>
      <c r="B321" s="4" t="s">
        <v>439</v>
      </c>
      <c r="C321" s="5" t="s">
        <v>440</v>
      </c>
      <c r="D321" s="4">
        <v>8</v>
      </c>
      <c r="E321" s="4">
        <v>4</v>
      </c>
    </row>
    <row r="322" spans="1:5" ht="110.25" x14ac:dyDescent="0.25">
      <c r="A322" s="4">
        <f t="shared" si="4"/>
        <v>321</v>
      </c>
      <c r="B322" s="4" t="s">
        <v>1296</v>
      </c>
      <c r="C322" s="5" t="s">
        <v>441</v>
      </c>
      <c r="D322" s="4">
        <v>8</v>
      </c>
      <c r="E322" s="4">
        <v>2</v>
      </c>
    </row>
    <row r="323" spans="1:5" ht="78.75" x14ac:dyDescent="0.25">
      <c r="A323" s="4">
        <f t="shared" si="4"/>
        <v>322</v>
      </c>
      <c r="B323" s="4" t="s">
        <v>442</v>
      </c>
      <c r="C323" s="5" t="s">
        <v>1041</v>
      </c>
      <c r="D323" s="4">
        <v>8</v>
      </c>
      <c r="E323" s="4">
        <v>1</v>
      </c>
    </row>
    <row r="324" spans="1:5" ht="362.25" x14ac:dyDescent="0.25">
      <c r="A324" s="4">
        <f t="shared" si="4"/>
        <v>323</v>
      </c>
      <c r="B324" s="4" t="s">
        <v>1297</v>
      </c>
      <c r="C324" s="5" t="s">
        <v>443</v>
      </c>
      <c r="D324" s="4">
        <v>8</v>
      </c>
      <c r="E324" s="4">
        <v>2</v>
      </c>
    </row>
    <row r="325" spans="1:5" ht="252" x14ac:dyDescent="0.25">
      <c r="A325" s="4">
        <f t="shared" si="4"/>
        <v>324</v>
      </c>
      <c r="B325" s="4" t="s">
        <v>444</v>
      </c>
      <c r="C325" s="5" t="s">
        <v>445</v>
      </c>
      <c r="D325" s="4">
        <v>8</v>
      </c>
      <c r="E325" s="4">
        <v>3</v>
      </c>
    </row>
    <row r="326" spans="1:5" x14ac:dyDescent="0.25">
      <c r="A326" s="4">
        <f t="shared" si="4"/>
        <v>325</v>
      </c>
      <c r="B326" s="4" t="s">
        <v>446</v>
      </c>
      <c r="C326" s="5" t="s">
        <v>447</v>
      </c>
      <c r="D326" s="4">
        <v>8</v>
      </c>
      <c r="E326" s="4">
        <v>4</v>
      </c>
    </row>
    <row r="327" spans="1:5" x14ac:dyDescent="0.25">
      <c r="A327" s="4">
        <f t="shared" si="4"/>
        <v>326</v>
      </c>
      <c r="B327" s="4" t="s">
        <v>448</v>
      </c>
      <c r="C327" s="5" t="s">
        <v>449</v>
      </c>
      <c r="D327" s="4">
        <v>8</v>
      </c>
      <c r="E327" s="4">
        <v>4</v>
      </c>
    </row>
    <row r="328" spans="1:5" x14ac:dyDescent="0.25">
      <c r="A328" s="4">
        <f t="shared" ref="A328:A392" si="5">ROW()-1</f>
        <v>327</v>
      </c>
      <c r="B328" s="4" t="s">
        <v>450</v>
      </c>
      <c r="C328" s="5" t="s">
        <v>451</v>
      </c>
      <c r="D328" s="4">
        <v>8</v>
      </c>
      <c r="E328" s="4">
        <v>4</v>
      </c>
    </row>
    <row r="329" spans="1:5" ht="204.75" x14ac:dyDescent="0.25">
      <c r="A329" s="4">
        <f t="shared" si="5"/>
        <v>328</v>
      </c>
      <c r="B329" s="4" t="s">
        <v>1356</v>
      </c>
      <c r="C329" s="5" t="s">
        <v>1179</v>
      </c>
      <c r="D329" s="4">
        <v>13</v>
      </c>
      <c r="E329" s="4">
        <v>1</v>
      </c>
    </row>
    <row r="330" spans="1:5" ht="94.5" x14ac:dyDescent="0.25">
      <c r="A330" s="4">
        <f t="shared" si="5"/>
        <v>329</v>
      </c>
      <c r="B330" s="4" t="s">
        <v>1357</v>
      </c>
      <c r="C330" s="5" t="s">
        <v>452</v>
      </c>
      <c r="D330" s="4">
        <v>13</v>
      </c>
      <c r="E330" s="4">
        <v>2</v>
      </c>
    </row>
    <row r="331" spans="1:5" ht="126" x14ac:dyDescent="0.25">
      <c r="A331" s="4">
        <f t="shared" si="5"/>
        <v>330</v>
      </c>
      <c r="B331" s="4" t="s">
        <v>453</v>
      </c>
      <c r="C331" s="5" t="s">
        <v>454</v>
      </c>
      <c r="D331" s="4">
        <v>13</v>
      </c>
      <c r="E331" s="4">
        <v>1</v>
      </c>
    </row>
    <row r="332" spans="1:5" ht="267.75" x14ac:dyDescent="0.25">
      <c r="A332" s="4">
        <f t="shared" si="5"/>
        <v>331</v>
      </c>
      <c r="B332" s="4" t="s">
        <v>1358</v>
      </c>
      <c r="C332" s="5" t="s">
        <v>1051</v>
      </c>
      <c r="D332" s="4">
        <v>13</v>
      </c>
      <c r="E332" s="4">
        <v>2</v>
      </c>
    </row>
    <row r="333" spans="1:5" ht="157.5" x14ac:dyDescent="0.25">
      <c r="A333" s="4">
        <f t="shared" si="5"/>
        <v>332</v>
      </c>
      <c r="B333" s="4" t="s">
        <v>1359</v>
      </c>
      <c r="C333" s="5" t="s">
        <v>1052</v>
      </c>
      <c r="D333" s="4">
        <v>13</v>
      </c>
      <c r="E333" s="4">
        <v>1</v>
      </c>
    </row>
    <row r="334" spans="1:5" ht="78.75" x14ac:dyDescent="0.25">
      <c r="A334" s="4">
        <f t="shared" si="5"/>
        <v>333</v>
      </c>
      <c r="B334" s="4" t="s">
        <v>1360</v>
      </c>
      <c r="C334" s="5" t="s">
        <v>455</v>
      </c>
      <c r="D334" s="4">
        <v>13</v>
      </c>
      <c r="E334" s="4">
        <v>1</v>
      </c>
    </row>
    <row r="335" spans="1:5" ht="220.5" x14ac:dyDescent="0.25">
      <c r="A335" s="4">
        <f t="shared" si="5"/>
        <v>334</v>
      </c>
      <c r="B335" s="4" t="s">
        <v>1361</v>
      </c>
      <c r="C335" s="5" t="s">
        <v>456</v>
      </c>
      <c r="D335" s="4">
        <v>13</v>
      </c>
      <c r="E335" s="4">
        <v>1</v>
      </c>
    </row>
    <row r="336" spans="1:5" ht="94.5" x14ac:dyDescent="0.25">
      <c r="A336" s="4">
        <f t="shared" si="5"/>
        <v>335</v>
      </c>
      <c r="B336" s="4" t="s">
        <v>368</v>
      </c>
      <c r="C336" s="5" t="s">
        <v>457</v>
      </c>
      <c r="D336" s="4">
        <v>13</v>
      </c>
      <c r="E336" s="4">
        <v>1</v>
      </c>
    </row>
    <row r="337" spans="1:5" ht="204.75" x14ac:dyDescent="0.25">
      <c r="A337" s="4">
        <f t="shared" si="5"/>
        <v>336</v>
      </c>
      <c r="B337" s="4" t="s">
        <v>1362</v>
      </c>
      <c r="C337" s="5" t="s">
        <v>1053</v>
      </c>
      <c r="D337" s="4">
        <v>13</v>
      </c>
      <c r="E337" s="4">
        <v>2</v>
      </c>
    </row>
    <row r="338" spans="1:5" ht="63" x14ac:dyDescent="0.25">
      <c r="A338" s="4">
        <f t="shared" si="5"/>
        <v>337</v>
      </c>
      <c r="B338" s="4" t="s">
        <v>458</v>
      </c>
      <c r="C338" s="5" t="s">
        <v>1054</v>
      </c>
      <c r="D338" s="4">
        <v>13</v>
      </c>
      <c r="E338" s="4">
        <v>2</v>
      </c>
    </row>
    <row r="339" spans="1:5" ht="63" x14ac:dyDescent="0.25">
      <c r="A339" s="4">
        <f t="shared" si="5"/>
        <v>338</v>
      </c>
      <c r="B339" s="4" t="s">
        <v>1363</v>
      </c>
      <c r="C339" s="5" t="s">
        <v>1055</v>
      </c>
      <c r="D339" s="4">
        <v>13</v>
      </c>
      <c r="E339" s="4">
        <v>2</v>
      </c>
    </row>
    <row r="340" spans="1:5" ht="141.75" x14ac:dyDescent="0.25">
      <c r="A340" s="4">
        <f t="shared" si="5"/>
        <v>339</v>
      </c>
      <c r="B340" s="4" t="s">
        <v>1364</v>
      </c>
      <c r="C340" s="5" t="s">
        <v>459</v>
      </c>
      <c r="D340" s="4">
        <v>13</v>
      </c>
      <c r="E340" s="4">
        <v>2</v>
      </c>
    </row>
    <row r="341" spans="1:5" ht="63" x14ac:dyDescent="0.25">
      <c r="A341" s="4">
        <f t="shared" si="5"/>
        <v>340</v>
      </c>
      <c r="B341" s="4" t="s">
        <v>1365</v>
      </c>
      <c r="C341" s="5" t="s">
        <v>460</v>
      </c>
      <c r="D341" s="4">
        <v>13</v>
      </c>
      <c r="E341" s="4">
        <v>2</v>
      </c>
    </row>
    <row r="342" spans="1:5" ht="63" x14ac:dyDescent="0.25">
      <c r="A342" s="4">
        <f t="shared" si="5"/>
        <v>341</v>
      </c>
      <c r="B342" s="4" t="s">
        <v>1366</v>
      </c>
      <c r="C342" s="5" t="s">
        <v>461</v>
      </c>
      <c r="D342" s="4">
        <v>13</v>
      </c>
      <c r="E342" s="4">
        <v>2</v>
      </c>
    </row>
    <row r="343" spans="1:5" ht="78.75" x14ac:dyDescent="0.25">
      <c r="A343" s="4">
        <f t="shared" si="5"/>
        <v>342</v>
      </c>
      <c r="B343" s="4" t="s">
        <v>1367</v>
      </c>
      <c r="C343" s="5" t="s">
        <v>1127</v>
      </c>
      <c r="D343" s="4">
        <v>13</v>
      </c>
      <c r="E343" s="4">
        <v>2</v>
      </c>
    </row>
    <row r="344" spans="1:5" ht="141.75" x14ac:dyDescent="0.25">
      <c r="A344" s="4">
        <f t="shared" si="5"/>
        <v>343</v>
      </c>
      <c r="B344" s="4" t="s">
        <v>1368</v>
      </c>
      <c r="C344" s="5" t="s">
        <v>1128</v>
      </c>
      <c r="D344" s="4">
        <v>13</v>
      </c>
      <c r="E344" s="4">
        <v>2</v>
      </c>
    </row>
    <row r="345" spans="1:5" ht="141.75" x14ac:dyDescent="0.25">
      <c r="A345" s="4">
        <f t="shared" si="5"/>
        <v>344</v>
      </c>
      <c r="B345" s="4" t="s">
        <v>1369</v>
      </c>
      <c r="C345" s="5" t="s">
        <v>1129</v>
      </c>
      <c r="D345" s="4">
        <v>13</v>
      </c>
      <c r="E345" s="4">
        <v>2</v>
      </c>
    </row>
    <row r="346" spans="1:5" ht="63" x14ac:dyDescent="0.25">
      <c r="A346" s="4">
        <f t="shared" si="5"/>
        <v>345</v>
      </c>
      <c r="B346" s="4" t="s">
        <v>416</v>
      </c>
      <c r="C346" s="5" t="s">
        <v>1125</v>
      </c>
      <c r="D346" s="4">
        <v>13</v>
      </c>
      <c r="E346" s="4">
        <v>1</v>
      </c>
    </row>
    <row r="347" spans="1:5" ht="31.5" x14ac:dyDescent="0.25">
      <c r="A347" s="4">
        <f t="shared" si="5"/>
        <v>346</v>
      </c>
      <c r="B347" s="4" t="s">
        <v>462</v>
      </c>
      <c r="C347" s="5" t="s">
        <v>1126</v>
      </c>
      <c r="D347" s="4">
        <v>13</v>
      </c>
      <c r="E347" s="4">
        <v>1</v>
      </c>
    </row>
    <row r="348" spans="1:5" ht="31.5" x14ac:dyDescent="0.25">
      <c r="A348" s="4">
        <f t="shared" si="5"/>
        <v>347</v>
      </c>
      <c r="B348" s="4" t="s">
        <v>463</v>
      </c>
      <c r="C348" s="5" t="s">
        <v>1130</v>
      </c>
      <c r="D348" s="4">
        <v>13</v>
      </c>
      <c r="E348" s="4">
        <v>1</v>
      </c>
    </row>
    <row r="349" spans="1:5" ht="47.25" x14ac:dyDescent="0.25">
      <c r="A349" s="4">
        <f t="shared" si="5"/>
        <v>348</v>
      </c>
      <c r="B349" s="4" t="s">
        <v>417</v>
      </c>
      <c r="C349" s="5" t="s">
        <v>464</v>
      </c>
      <c r="D349" s="4">
        <v>13</v>
      </c>
      <c r="E349" s="4">
        <v>1</v>
      </c>
    </row>
    <row r="350" spans="1:5" ht="31.5" x14ac:dyDescent="0.25">
      <c r="A350" s="4">
        <f t="shared" si="5"/>
        <v>349</v>
      </c>
      <c r="B350" s="4" t="s">
        <v>288</v>
      </c>
      <c r="C350" s="5" t="s">
        <v>465</v>
      </c>
      <c r="D350" s="4">
        <v>13</v>
      </c>
      <c r="E350" s="4">
        <v>4</v>
      </c>
    </row>
    <row r="351" spans="1:5" x14ac:dyDescent="0.25">
      <c r="A351" s="4">
        <f>ROW()-1</f>
        <v>350</v>
      </c>
      <c r="B351" s="4" t="s">
        <v>1034</v>
      </c>
      <c r="C351" s="5" t="s">
        <v>1131</v>
      </c>
      <c r="D351" s="4">
        <v>13</v>
      </c>
      <c r="E351" s="4">
        <v>2</v>
      </c>
    </row>
    <row r="352" spans="1:5" x14ac:dyDescent="0.25">
      <c r="A352" s="4">
        <f t="shared" si="5"/>
        <v>351</v>
      </c>
      <c r="B352" s="4" t="s">
        <v>1033</v>
      </c>
      <c r="C352" s="5" t="s">
        <v>1132</v>
      </c>
      <c r="D352" s="4">
        <v>13</v>
      </c>
      <c r="E352" s="4">
        <v>2</v>
      </c>
    </row>
    <row r="353" spans="1:5" ht="78.75" x14ac:dyDescent="0.25">
      <c r="A353" s="4">
        <f t="shared" si="5"/>
        <v>352</v>
      </c>
      <c r="B353" s="4" t="s">
        <v>1370</v>
      </c>
      <c r="C353" s="5" t="s">
        <v>466</v>
      </c>
      <c r="D353" s="4">
        <v>13</v>
      </c>
      <c r="E353" s="4">
        <v>2</v>
      </c>
    </row>
    <row r="354" spans="1:5" x14ac:dyDescent="0.25">
      <c r="A354" s="4">
        <f t="shared" si="5"/>
        <v>353</v>
      </c>
      <c r="B354" s="4" t="s">
        <v>467</v>
      </c>
      <c r="C354" s="5" t="s">
        <v>468</v>
      </c>
      <c r="D354" s="4">
        <v>13</v>
      </c>
      <c r="E354" s="4">
        <v>4</v>
      </c>
    </row>
    <row r="355" spans="1:5" ht="94.5" x14ac:dyDescent="0.25">
      <c r="A355" s="4">
        <f t="shared" si="5"/>
        <v>354</v>
      </c>
      <c r="B355" s="4" t="s">
        <v>469</v>
      </c>
      <c r="C355" s="5" t="s">
        <v>470</v>
      </c>
      <c r="D355" s="4">
        <v>13</v>
      </c>
      <c r="E355" s="4">
        <v>1</v>
      </c>
    </row>
    <row r="356" spans="1:5" x14ac:dyDescent="0.25">
      <c r="A356" s="4">
        <f t="shared" si="5"/>
        <v>355</v>
      </c>
      <c r="B356" s="4" t="s">
        <v>471</v>
      </c>
      <c r="C356" s="5" t="s">
        <v>472</v>
      </c>
      <c r="D356" s="4">
        <v>13</v>
      </c>
      <c r="E356" s="4">
        <v>4</v>
      </c>
    </row>
    <row r="357" spans="1:5" x14ac:dyDescent="0.25">
      <c r="A357" s="4">
        <f t="shared" si="5"/>
        <v>356</v>
      </c>
      <c r="B357" s="4" t="s">
        <v>473</v>
      </c>
      <c r="C357" s="5" t="s">
        <v>474</v>
      </c>
      <c r="D357" s="4">
        <v>13</v>
      </c>
      <c r="E357" s="4">
        <v>4</v>
      </c>
    </row>
    <row r="358" spans="1:5" ht="63" x14ac:dyDescent="0.25">
      <c r="A358" s="4">
        <f t="shared" si="5"/>
        <v>357</v>
      </c>
      <c r="B358" s="4" t="s">
        <v>475</v>
      </c>
      <c r="C358" s="5" t="s">
        <v>476</v>
      </c>
      <c r="D358" s="4">
        <v>13</v>
      </c>
      <c r="E358" s="4">
        <v>2</v>
      </c>
    </row>
    <row r="359" spans="1:5" ht="141.75" x14ac:dyDescent="0.25">
      <c r="A359" s="4">
        <f t="shared" si="5"/>
        <v>358</v>
      </c>
      <c r="B359" s="4" t="s">
        <v>477</v>
      </c>
      <c r="C359" s="5" t="s">
        <v>478</v>
      </c>
      <c r="D359" s="4">
        <v>13</v>
      </c>
      <c r="E359" s="4">
        <v>1</v>
      </c>
    </row>
    <row r="360" spans="1:5" ht="78.75" x14ac:dyDescent="0.25">
      <c r="A360" s="4">
        <f t="shared" si="5"/>
        <v>359</v>
      </c>
      <c r="B360" s="4" t="s">
        <v>1371</v>
      </c>
      <c r="C360" s="5" t="s">
        <v>479</v>
      </c>
      <c r="D360" s="4">
        <v>13</v>
      </c>
      <c r="E360" s="4">
        <v>2</v>
      </c>
    </row>
    <row r="361" spans="1:5" ht="204.75" x14ac:dyDescent="0.25">
      <c r="A361" s="4">
        <f t="shared" si="5"/>
        <v>360</v>
      </c>
      <c r="B361" s="4" t="s">
        <v>480</v>
      </c>
      <c r="C361" s="5" t="s">
        <v>481</v>
      </c>
      <c r="D361" s="4">
        <v>13</v>
      </c>
      <c r="E361" s="4">
        <v>1</v>
      </c>
    </row>
    <row r="362" spans="1:5" ht="220.5" x14ac:dyDescent="0.25">
      <c r="A362" s="4">
        <f t="shared" si="5"/>
        <v>361</v>
      </c>
      <c r="B362" s="4" t="s">
        <v>1372</v>
      </c>
      <c r="C362" s="5" t="s">
        <v>1056</v>
      </c>
      <c r="D362" s="4">
        <v>13</v>
      </c>
      <c r="E362" s="4">
        <v>2</v>
      </c>
    </row>
    <row r="363" spans="1:5" ht="409.5" x14ac:dyDescent="0.25">
      <c r="A363" s="4">
        <f t="shared" si="5"/>
        <v>362</v>
      </c>
      <c r="B363" s="4" t="s">
        <v>1373</v>
      </c>
      <c r="C363" s="5" t="s">
        <v>1057</v>
      </c>
      <c r="D363" s="4">
        <v>13</v>
      </c>
      <c r="E363" s="4">
        <v>2</v>
      </c>
    </row>
    <row r="364" spans="1:5" x14ac:dyDescent="0.25">
      <c r="A364" s="4">
        <f t="shared" si="5"/>
        <v>363</v>
      </c>
      <c r="B364" s="4" t="s">
        <v>482</v>
      </c>
      <c r="C364" s="5" t="s">
        <v>434</v>
      </c>
      <c r="D364" s="4">
        <v>13</v>
      </c>
      <c r="E364" s="4">
        <v>4</v>
      </c>
    </row>
    <row r="365" spans="1:5" x14ac:dyDescent="0.25">
      <c r="A365" s="4">
        <f t="shared" si="5"/>
        <v>364</v>
      </c>
      <c r="B365" s="4" t="s">
        <v>306</v>
      </c>
      <c r="C365" s="5" t="s">
        <v>436</v>
      </c>
      <c r="D365" s="4">
        <v>13</v>
      </c>
      <c r="E365" s="4">
        <v>4</v>
      </c>
    </row>
    <row r="366" spans="1:5" ht="173.25" x14ac:dyDescent="0.25">
      <c r="A366" s="4">
        <f t="shared" si="5"/>
        <v>365</v>
      </c>
      <c r="B366" s="4" t="s">
        <v>1374</v>
      </c>
      <c r="C366" s="5" t="s">
        <v>483</v>
      </c>
      <c r="D366" s="4">
        <v>13</v>
      </c>
      <c r="E366" s="4">
        <v>2</v>
      </c>
    </row>
    <row r="367" spans="1:5" ht="409.5" x14ac:dyDescent="0.25">
      <c r="A367" s="4">
        <f t="shared" si="5"/>
        <v>366</v>
      </c>
      <c r="B367" s="4" t="s">
        <v>1375</v>
      </c>
      <c r="C367" s="5" t="s">
        <v>484</v>
      </c>
      <c r="D367" s="4">
        <v>13</v>
      </c>
      <c r="E367" s="4">
        <v>2</v>
      </c>
    </row>
    <row r="368" spans="1:5" x14ac:dyDescent="0.25">
      <c r="A368" s="4">
        <f t="shared" si="5"/>
        <v>367</v>
      </c>
      <c r="B368" s="4" t="s">
        <v>485</v>
      </c>
      <c r="C368" s="5" t="s">
        <v>486</v>
      </c>
      <c r="D368" s="4">
        <v>13</v>
      </c>
      <c r="E368" s="4">
        <v>4</v>
      </c>
    </row>
    <row r="369" spans="1:5" ht="409.5" x14ac:dyDescent="0.25">
      <c r="A369" s="4">
        <f t="shared" si="5"/>
        <v>368</v>
      </c>
      <c r="B369" s="4" t="s">
        <v>1376</v>
      </c>
      <c r="C369" s="5" t="s">
        <v>487</v>
      </c>
      <c r="D369" s="4">
        <v>13</v>
      </c>
      <c r="E369" s="4">
        <v>2</v>
      </c>
    </row>
    <row r="370" spans="1:5" ht="315" x14ac:dyDescent="0.25">
      <c r="A370" s="4">
        <f t="shared" si="5"/>
        <v>369</v>
      </c>
      <c r="B370" s="4" t="s">
        <v>1377</v>
      </c>
      <c r="C370" s="5" t="s">
        <v>489</v>
      </c>
      <c r="D370" s="4">
        <v>13</v>
      </c>
      <c r="E370" s="4">
        <v>2</v>
      </c>
    </row>
    <row r="371" spans="1:5" x14ac:dyDescent="0.25">
      <c r="A371" s="4">
        <f t="shared" si="5"/>
        <v>370</v>
      </c>
      <c r="B371" s="4" t="s">
        <v>446</v>
      </c>
      <c r="C371" s="5" t="s">
        <v>490</v>
      </c>
      <c r="D371" s="4">
        <v>13</v>
      </c>
      <c r="E371" s="4">
        <v>4</v>
      </c>
    </row>
    <row r="372" spans="1:5" x14ac:dyDescent="0.25">
      <c r="A372" s="4">
        <f t="shared" si="5"/>
        <v>371</v>
      </c>
      <c r="B372" s="4" t="s">
        <v>491</v>
      </c>
      <c r="C372" s="5" t="s">
        <v>492</v>
      </c>
      <c r="D372" s="4">
        <v>13</v>
      </c>
      <c r="E372" s="4">
        <v>4</v>
      </c>
    </row>
    <row r="373" spans="1:5" x14ac:dyDescent="0.25">
      <c r="A373" s="4">
        <f t="shared" si="5"/>
        <v>372</v>
      </c>
      <c r="B373" s="4" t="s">
        <v>326</v>
      </c>
      <c r="C373" s="5" t="s">
        <v>493</v>
      </c>
      <c r="D373" s="4">
        <v>13</v>
      </c>
      <c r="E373" s="4">
        <v>4</v>
      </c>
    </row>
    <row r="374" spans="1:5" x14ac:dyDescent="0.25">
      <c r="A374" s="4">
        <f t="shared" si="5"/>
        <v>373</v>
      </c>
      <c r="B374" s="4" t="s">
        <v>324</v>
      </c>
      <c r="C374" s="5" t="s">
        <v>494</v>
      </c>
      <c r="D374" s="4">
        <v>13</v>
      </c>
      <c r="E374" s="4">
        <v>4</v>
      </c>
    </row>
    <row r="375" spans="1:5" x14ac:dyDescent="0.25">
      <c r="A375" s="4">
        <f t="shared" si="5"/>
        <v>374</v>
      </c>
      <c r="B375" s="4" t="s">
        <v>495</v>
      </c>
      <c r="C375" s="5" t="s">
        <v>496</v>
      </c>
      <c r="D375" s="4">
        <v>13</v>
      </c>
      <c r="E375" s="4">
        <v>4</v>
      </c>
    </row>
    <row r="376" spans="1:5" ht="252" x14ac:dyDescent="0.25">
      <c r="A376" s="4">
        <f t="shared" si="5"/>
        <v>375</v>
      </c>
      <c r="B376" s="4" t="s">
        <v>497</v>
      </c>
      <c r="C376" s="5" t="s">
        <v>498</v>
      </c>
      <c r="D376" s="4">
        <v>13</v>
      </c>
      <c r="E376" s="4">
        <v>2</v>
      </c>
    </row>
    <row r="377" spans="1:5" ht="267.75" x14ac:dyDescent="0.25">
      <c r="A377" s="4">
        <f t="shared" si="5"/>
        <v>376</v>
      </c>
      <c r="B377" s="4" t="s">
        <v>499</v>
      </c>
      <c r="C377" s="5" t="s">
        <v>500</v>
      </c>
      <c r="D377" s="4">
        <v>13</v>
      </c>
      <c r="E377" s="4">
        <v>2</v>
      </c>
    </row>
    <row r="378" spans="1:5" ht="78.75" x14ac:dyDescent="0.25">
      <c r="A378" s="4">
        <f t="shared" si="5"/>
        <v>377</v>
      </c>
      <c r="B378" s="4" t="s">
        <v>1397</v>
      </c>
      <c r="C378" s="5" t="s">
        <v>1398</v>
      </c>
      <c r="D378" s="4">
        <v>14</v>
      </c>
      <c r="E378" s="4">
        <v>1</v>
      </c>
    </row>
    <row r="379" spans="1:5" ht="126" x14ac:dyDescent="0.25">
      <c r="A379" s="4">
        <f t="shared" si="5"/>
        <v>378</v>
      </c>
      <c r="B379" s="4" t="s">
        <v>501</v>
      </c>
      <c r="C379" s="5" t="s">
        <v>502</v>
      </c>
      <c r="D379" s="4">
        <v>14</v>
      </c>
      <c r="E379" s="4">
        <v>1</v>
      </c>
    </row>
    <row r="380" spans="1:5" ht="173.25" x14ac:dyDescent="0.25">
      <c r="A380" s="4">
        <f t="shared" si="5"/>
        <v>379</v>
      </c>
      <c r="B380" s="4" t="s">
        <v>1378</v>
      </c>
      <c r="C380" s="5" t="s">
        <v>503</v>
      </c>
      <c r="D380" s="4">
        <v>14</v>
      </c>
      <c r="E380" s="4">
        <v>2</v>
      </c>
    </row>
    <row r="381" spans="1:5" ht="204.75" x14ac:dyDescent="0.25">
      <c r="A381" s="4">
        <f t="shared" si="5"/>
        <v>380</v>
      </c>
      <c r="B381" s="4" t="s">
        <v>1379</v>
      </c>
      <c r="C381" s="5" t="s">
        <v>504</v>
      </c>
      <c r="D381" s="4">
        <v>14</v>
      </c>
      <c r="E381" s="4">
        <v>1</v>
      </c>
    </row>
    <row r="382" spans="1:5" ht="409.5" x14ac:dyDescent="0.25">
      <c r="A382" s="4">
        <f t="shared" si="5"/>
        <v>381</v>
      </c>
      <c r="B382" s="4" t="s">
        <v>1380</v>
      </c>
      <c r="C382" s="5" t="s">
        <v>1058</v>
      </c>
      <c r="D382" s="4">
        <v>14</v>
      </c>
      <c r="E382" s="4">
        <v>2</v>
      </c>
    </row>
    <row r="383" spans="1:5" ht="409.5" x14ac:dyDescent="0.25">
      <c r="A383" s="4">
        <f t="shared" si="5"/>
        <v>382</v>
      </c>
      <c r="B383" s="4" t="s">
        <v>1381</v>
      </c>
      <c r="C383" s="5" t="s">
        <v>1059</v>
      </c>
      <c r="D383" s="4">
        <v>14</v>
      </c>
      <c r="E383" s="4">
        <v>2</v>
      </c>
    </row>
    <row r="384" spans="1:5" ht="409.5" x14ac:dyDescent="0.25">
      <c r="A384" s="4">
        <f t="shared" si="5"/>
        <v>383</v>
      </c>
      <c r="B384" s="4" t="s">
        <v>1382</v>
      </c>
      <c r="C384" s="5" t="s">
        <v>1060</v>
      </c>
      <c r="D384" s="4">
        <v>14</v>
      </c>
      <c r="E384" s="4">
        <v>2</v>
      </c>
    </row>
    <row r="385" spans="1:5" ht="409.5" x14ac:dyDescent="0.25">
      <c r="A385" s="4">
        <f t="shared" si="5"/>
        <v>384</v>
      </c>
      <c r="B385" s="4" t="s">
        <v>1383</v>
      </c>
      <c r="C385" s="5" t="s">
        <v>1061</v>
      </c>
      <c r="D385" s="4">
        <v>14</v>
      </c>
      <c r="E385" s="4">
        <v>2</v>
      </c>
    </row>
    <row r="386" spans="1:5" ht="157.5" x14ac:dyDescent="0.25">
      <c r="A386" s="4">
        <f t="shared" si="5"/>
        <v>385</v>
      </c>
      <c r="B386" s="4" t="s">
        <v>1384</v>
      </c>
      <c r="C386" s="5" t="s">
        <v>506</v>
      </c>
      <c r="D386" s="4">
        <v>14</v>
      </c>
      <c r="E386" s="4">
        <v>1</v>
      </c>
    </row>
    <row r="387" spans="1:5" ht="63" x14ac:dyDescent="0.25">
      <c r="A387" s="4">
        <f t="shared" si="5"/>
        <v>386</v>
      </c>
      <c r="B387" s="4" t="s">
        <v>507</v>
      </c>
      <c r="C387" s="5" t="s">
        <v>508</v>
      </c>
      <c r="D387" s="4">
        <v>14</v>
      </c>
      <c r="E387" s="4">
        <v>1</v>
      </c>
    </row>
    <row r="388" spans="1:5" ht="409.5" x14ac:dyDescent="0.25">
      <c r="A388" s="4">
        <f t="shared" si="5"/>
        <v>387</v>
      </c>
      <c r="B388" s="4" t="s">
        <v>1385</v>
      </c>
      <c r="C388" s="5" t="s">
        <v>1062</v>
      </c>
      <c r="D388" s="4">
        <v>14</v>
      </c>
      <c r="E388" s="4">
        <v>2</v>
      </c>
    </row>
    <row r="389" spans="1:5" ht="157.5" x14ac:dyDescent="0.25">
      <c r="A389" s="4">
        <f t="shared" si="5"/>
        <v>388</v>
      </c>
      <c r="B389" s="4" t="s">
        <v>509</v>
      </c>
      <c r="C389" s="5" t="s">
        <v>1063</v>
      </c>
      <c r="D389" s="4">
        <v>14</v>
      </c>
      <c r="E389" s="4">
        <v>2</v>
      </c>
    </row>
    <row r="390" spans="1:5" ht="393.75" x14ac:dyDescent="0.25">
      <c r="A390" s="4">
        <f t="shared" si="5"/>
        <v>389</v>
      </c>
      <c r="B390" s="4" t="s">
        <v>1386</v>
      </c>
      <c r="C390" s="5" t="s">
        <v>510</v>
      </c>
      <c r="D390" s="4">
        <v>14</v>
      </c>
      <c r="E390" s="4">
        <v>2</v>
      </c>
    </row>
    <row r="391" spans="1:5" ht="157.5" x14ac:dyDescent="0.25">
      <c r="A391" s="4">
        <f t="shared" si="5"/>
        <v>390</v>
      </c>
      <c r="B391" s="4" t="s">
        <v>511</v>
      </c>
      <c r="C391" s="5" t="s">
        <v>512</v>
      </c>
      <c r="D391" s="4">
        <v>14</v>
      </c>
      <c r="E391" s="4">
        <v>2</v>
      </c>
    </row>
    <row r="392" spans="1:5" ht="409.5" x14ac:dyDescent="0.25">
      <c r="A392" s="4">
        <f t="shared" si="5"/>
        <v>391</v>
      </c>
      <c r="B392" s="4" t="s">
        <v>1387</v>
      </c>
      <c r="C392" s="5" t="s">
        <v>1133</v>
      </c>
      <c r="D392" s="4">
        <v>14</v>
      </c>
      <c r="E392" s="4">
        <v>2</v>
      </c>
    </row>
    <row r="393" spans="1:5" ht="315" x14ac:dyDescent="0.25">
      <c r="A393" s="4">
        <f t="shared" ref="A393:A456" si="6">ROW()-1</f>
        <v>392</v>
      </c>
      <c r="B393" s="4" t="s">
        <v>1388</v>
      </c>
      <c r="C393" s="5" t="s">
        <v>1134</v>
      </c>
      <c r="D393" s="4">
        <v>14</v>
      </c>
      <c r="E393" s="4">
        <v>2</v>
      </c>
    </row>
    <row r="394" spans="1:5" ht="409.5" x14ac:dyDescent="0.25">
      <c r="A394" s="4">
        <f t="shared" si="6"/>
        <v>393</v>
      </c>
      <c r="B394" s="4" t="s">
        <v>1389</v>
      </c>
      <c r="C394" s="5" t="s">
        <v>1135</v>
      </c>
      <c r="D394" s="4">
        <v>14</v>
      </c>
      <c r="E394" s="4">
        <v>2</v>
      </c>
    </row>
    <row r="395" spans="1:5" ht="409.5" x14ac:dyDescent="0.25">
      <c r="A395" s="4">
        <f t="shared" si="6"/>
        <v>394</v>
      </c>
      <c r="B395" s="4" t="s">
        <v>513</v>
      </c>
      <c r="C395" s="5" t="s">
        <v>1064</v>
      </c>
      <c r="D395" s="4">
        <v>14</v>
      </c>
      <c r="E395" s="4">
        <v>1</v>
      </c>
    </row>
    <row r="396" spans="1:5" ht="409.5" x14ac:dyDescent="0.25">
      <c r="A396" s="4">
        <f t="shared" si="6"/>
        <v>395</v>
      </c>
      <c r="B396" s="4" t="s">
        <v>514</v>
      </c>
      <c r="C396" s="5" t="s">
        <v>1136</v>
      </c>
      <c r="D396" s="4">
        <v>14</v>
      </c>
      <c r="E396" s="4">
        <v>1</v>
      </c>
    </row>
    <row r="397" spans="1:5" ht="409.5" x14ac:dyDescent="0.25">
      <c r="A397" s="4">
        <f t="shared" si="6"/>
        <v>396</v>
      </c>
      <c r="B397" s="4" t="s">
        <v>515</v>
      </c>
      <c r="C397" s="5" t="s">
        <v>1137</v>
      </c>
      <c r="D397" s="4">
        <v>14</v>
      </c>
      <c r="E397" s="4">
        <v>1</v>
      </c>
    </row>
    <row r="398" spans="1:5" ht="409.5" x14ac:dyDescent="0.25">
      <c r="A398" s="4">
        <f t="shared" si="6"/>
        <v>397</v>
      </c>
      <c r="B398" s="4" t="s">
        <v>1390</v>
      </c>
      <c r="C398" s="5" t="s">
        <v>1138</v>
      </c>
      <c r="D398" s="4">
        <v>14</v>
      </c>
      <c r="E398" s="4">
        <v>1</v>
      </c>
    </row>
    <row r="399" spans="1:5" x14ac:dyDescent="0.25">
      <c r="A399" s="4">
        <f t="shared" si="6"/>
        <v>398</v>
      </c>
      <c r="B399" s="4" t="s">
        <v>221</v>
      </c>
      <c r="C399" s="5" t="s">
        <v>419</v>
      </c>
      <c r="D399" s="4">
        <v>14</v>
      </c>
      <c r="E399" s="4">
        <v>4</v>
      </c>
    </row>
    <row r="400" spans="1:5" x14ac:dyDescent="0.25">
      <c r="A400" s="4">
        <f t="shared" si="6"/>
        <v>399</v>
      </c>
      <c r="B400" s="4" t="s">
        <v>1034</v>
      </c>
      <c r="C400" s="5" t="s">
        <v>1581</v>
      </c>
      <c r="D400" s="4">
        <v>14</v>
      </c>
      <c r="E400" s="4">
        <v>4</v>
      </c>
    </row>
    <row r="401" spans="1:5" ht="157.5" x14ac:dyDescent="0.25">
      <c r="A401" s="4">
        <f t="shared" si="6"/>
        <v>400</v>
      </c>
      <c r="B401" s="4" t="s">
        <v>1391</v>
      </c>
      <c r="C401" s="5" t="s">
        <v>517</v>
      </c>
      <c r="D401" s="4">
        <v>14</v>
      </c>
      <c r="E401" s="4">
        <v>2</v>
      </c>
    </row>
    <row r="402" spans="1:5" x14ac:dyDescent="0.25">
      <c r="A402" s="4">
        <f t="shared" si="6"/>
        <v>401</v>
      </c>
      <c r="B402" s="4" t="s">
        <v>518</v>
      </c>
      <c r="C402" s="5" t="s">
        <v>468</v>
      </c>
      <c r="D402" s="4">
        <v>14</v>
      </c>
      <c r="E402" s="4">
        <v>4</v>
      </c>
    </row>
    <row r="403" spans="1:5" ht="409.5" x14ac:dyDescent="0.25">
      <c r="A403" s="4">
        <f t="shared" si="6"/>
        <v>402</v>
      </c>
      <c r="B403" s="4" t="s">
        <v>519</v>
      </c>
      <c r="C403" s="5" t="s">
        <v>1065</v>
      </c>
      <c r="D403" s="4">
        <v>14</v>
      </c>
      <c r="E403" s="4">
        <v>1</v>
      </c>
    </row>
    <row r="404" spans="1:5" ht="299.25" x14ac:dyDescent="0.25">
      <c r="A404" s="4">
        <f t="shared" si="6"/>
        <v>403</v>
      </c>
      <c r="B404" s="4" t="s">
        <v>248</v>
      </c>
      <c r="C404" s="5" t="s">
        <v>520</v>
      </c>
      <c r="D404" s="4">
        <v>14</v>
      </c>
      <c r="E404" s="4">
        <v>2</v>
      </c>
    </row>
    <row r="405" spans="1:5" ht="78.75" x14ac:dyDescent="0.25">
      <c r="A405" s="4">
        <f t="shared" si="6"/>
        <v>404</v>
      </c>
      <c r="B405" s="4" t="s">
        <v>521</v>
      </c>
      <c r="C405" s="5" t="s">
        <v>522</v>
      </c>
      <c r="D405" s="4">
        <v>14</v>
      </c>
      <c r="E405" s="4">
        <v>1</v>
      </c>
    </row>
    <row r="406" spans="1:5" ht="126" x14ac:dyDescent="0.25">
      <c r="A406" s="4">
        <f t="shared" si="6"/>
        <v>405</v>
      </c>
      <c r="B406" s="4" t="s">
        <v>523</v>
      </c>
      <c r="C406" s="5" t="s">
        <v>524</v>
      </c>
      <c r="D406" s="4">
        <v>14</v>
      </c>
      <c r="E406" s="4">
        <v>2</v>
      </c>
    </row>
    <row r="407" spans="1:5" ht="409.5" x14ac:dyDescent="0.25">
      <c r="A407" s="4">
        <f t="shared" si="6"/>
        <v>406</v>
      </c>
      <c r="B407" s="4" t="s">
        <v>525</v>
      </c>
      <c r="C407" s="5" t="s">
        <v>526</v>
      </c>
      <c r="D407" s="4">
        <v>14</v>
      </c>
      <c r="E407" s="4">
        <v>2</v>
      </c>
    </row>
    <row r="408" spans="1:5" ht="173.25" x14ac:dyDescent="0.25">
      <c r="A408" s="4">
        <f t="shared" si="6"/>
        <v>407</v>
      </c>
      <c r="B408" s="4" t="s">
        <v>1392</v>
      </c>
      <c r="C408" s="5" t="s">
        <v>527</v>
      </c>
      <c r="D408" s="4">
        <v>14</v>
      </c>
      <c r="E408" s="4">
        <v>2</v>
      </c>
    </row>
    <row r="409" spans="1:5" ht="63" x14ac:dyDescent="0.25">
      <c r="A409" s="4">
        <f t="shared" si="6"/>
        <v>408</v>
      </c>
      <c r="B409" s="4" t="s">
        <v>1371</v>
      </c>
      <c r="C409" s="5" t="s">
        <v>528</v>
      </c>
      <c r="D409" s="4">
        <v>14</v>
      </c>
      <c r="E409" s="4">
        <v>2</v>
      </c>
    </row>
    <row r="410" spans="1:5" ht="63" x14ac:dyDescent="0.25">
      <c r="A410" s="4">
        <f t="shared" si="6"/>
        <v>409</v>
      </c>
      <c r="B410" s="4" t="s">
        <v>529</v>
      </c>
      <c r="C410" s="5" t="s">
        <v>530</v>
      </c>
      <c r="D410" s="4">
        <v>14</v>
      </c>
      <c r="E410" s="4">
        <v>1</v>
      </c>
    </row>
    <row r="411" spans="1:5" ht="173.25" x14ac:dyDescent="0.25">
      <c r="A411" s="4">
        <f t="shared" si="6"/>
        <v>410</v>
      </c>
      <c r="B411" s="4" t="s">
        <v>531</v>
      </c>
      <c r="C411" s="5" t="s">
        <v>532</v>
      </c>
      <c r="D411" s="4">
        <v>14</v>
      </c>
      <c r="E411" s="4">
        <v>2</v>
      </c>
    </row>
    <row r="412" spans="1:5" ht="173.25" x14ac:dyDescent="0.25">
      <c r="A412" s="4">
        <f t="shared" si="6"/>
        <v>411</v>
      </c>
      <c r="B412" s="4" t="s">
        <v>533</v>
      </c>
      <c r="C412" s="5" t="s">
        <v>1066</v>
      </c>
      <c r="D412" s="4">
        <v>14</v>
      </c>
      <c r="E412" s="4">
        <v>2</v>
      </c>
    </row>
    <row r="413" spans="1:5" ht="409.5" x14ac:dyDescent="0.25">
      <c r="A413" s="4">
        <f t="shared" si="6"/>
        <v>412</v>
      </c>
      <c r="B413" s="4" t="s">
        <v>1393</v>
      </c>
      <c r="C413" s="5" t="s">
        <v>1067</v>
      </c>
      <c r="D413" s="4">
        <v>14</v>
      </c>
      <c r="E413" s="4">
        <v>2</v>
      </c>
    </row>
    <row r="414" spans="1:5" x14ac:dyDescent="0.25">
      <c r="A414" s="4">
        <f t="shared" si="6"/>
        <v>413</v>
      </c>
      <c r="B414" s="4" t="s">
        <v>229</v>
      </c>
      <c r="C414" s="5" t="s">
        <v>434</v>
      </c>
      <c r="D414" s="4">
        <v>14</v>
      </c>
      <c r="E414" s="4">
        <v>4</v>
      </c>
    </row>
    <row r="415" spans="1:5" x14ac:dyDescent="0.25">
      <c r="A415" s="4">
        <f t="shared" si="6"/>
        <v>414</v>
      </c>
      <c r="B415" s="4" t="s">
        <v>231</v>
      </c>
      <c r="C415" s="5" t="s">
        <v>436</v>
      </c>
      <c r="D415" s="4">
        <v>14</v>
      </c>
      <c r="E415" s="4">
        <v>4</v>
      </c>
    </row>
    <row r="416" spans="1:5" ht="157.5" x14ac:dyDescent="0.25">
      <c r="A416" s="4">
        <f t="shared" si="6"/>
        <v>415</v>
      </c>
      <c r="B416" s="4" t="s">
        <v>1394</v>
      </c>
      <c r="C416" s="5" t="s">
        <v>534</v>
      </c>
      <c r="D416" s="4">
        <v>14</v>
      </c>
      <c r="E416" s="4">
        <v>2</v>
      </c>
    </row>
    <row r="417" spans="1:5" ht="362.25" x14ac:dyDescent="0.25">
      <c r="A417" s="4">
        <f t="shared" si="6"/>
        <v>416</v>
      </c>
      <c r="B417" s="4" t="s">
        <v>1395</v>
      </c>
      <c r="C417" s="5" t="s">
        <v>535</v>
      </c>
      <c r="D417" s="4">
        <v>14</v>
      </c>
      <c r="E417" s="4">
        <v>2</v>
      </c>
    </row>
    <row r="418" spans="1:5" ht="157.5" x14ac:dyDescent="0.25">
      <c r="A418" s="4">
        <f t="shared" si="6"/>
        <v>417</v>
      </c>
      <c r="B418" s="4" t="s">
        <v>1396</v>
      </c>
      <c r="C418" s="5" t="s">
        <v>536</v>
      </c>
      <c r="D418" s="4">
        <v>14</v>
      </c>
      <c r="E418" s="4">
        <v>2</v>
      </c>
    </row>
    <row r="419" spans="1:5" ht="409.5" x14ac:dyDescent="0.25">
      <c r="A419" s="4">
        <f t="shared" si="6"/>
        <v>418</v>
      </c>
      <c r="B419" s="4" t="s">
        <v>537</v>
      </c>
      <c r="C419" s="5" t="s">
        <v>1068</v>
      </c>
      <c r="D419" s="4">
        <v>14</v>
      </c>
      <c r="E419" s="4">
        <v>1</v>
      </c>
    </row>
    <row r="420" spans="1:5" ht="409.5" x14ac:dyDescent="0.25">
      <c r="A420" s="4">
        <f t="shared" si="6"/>
        <v>419</v>
      </c>
      <c r="B420" s="4" t="s">
        <v>538</v>
      </c>
      <c r="C420" s="5" t="s">
        <v>1069</v>
      </c>
      <c r="D420" s="4">
        <v>14</v>
      </c>
      <c r="E420" s="4">
        <v>2</v>
      </c>
    </row>
    <row r="421" spans="1:5" x14ac:dyDescent="0.25">
      <c r="A421" s="4">
        <f t="shared" si="6"/>
        <v>420</v>
      </c>
      <c r="B421" s="4" t="s">
        <v>539</v>
      </c>
      <c r="C421" s="5" t="s">
        <v>1139</v>
      </c>
      <c r="D421" s="4">
        <v>14</v>
      </c>
      <c r="E421" s="4">
        <v>1</v>
      </c>
    </row>
    <row r="422" spans="1:5" x14ac:dyDescent="0.25">
      <c r="A422" s="4">
        <f t="shared" si="6"/>
        <v>421</v>
      </c>
      <c r="B422" s="4" t="s">
        <v>540</v>
      </c>
      <c r="C422" s="5" t="s">
        <v>541</v>
      </c>
      <c r="D422" s="4">
        <v>14</v>
      </c>
      <c r="E422" s="4">
        <v>4</v>
      </c>
    </row>
    <row r="423" spans="1:5" x14ac:dyDescent="0.25">
      <c r="A423" s="4">
        <f t="shared" si="6"/>
        <v>422</v>
      </c>
      <c r="B423" s="4" t="s">
        <v>542</v>
      </c>
      <c r="C423" s="5" t="s">
        <v>541</v>
      </c>
      <c r="D423" s="4">
        <v>14</v>
      </c>
      <c r="E423" s="4">
        <v>4</v>
      </c>
    </row>
    <row r="424" spans="1:5" ht="141.75" x14ac:dyDescent="0.25">
      <c r="A424" s="4">
        <f t="shared" si="6"/>
        <v>423</v>
      </c>
      <c r="B424" s="4" t="s">
        <v>543</v>
      </c>
      <c r="C424" s="5" t="s">
        <v>544</v>
      </c>
      <c r="D424" s="4">
        <v>14</v>
      </c>
      <c r="E424" s="4">
        <v>1</v>
      </c>
    </row>
    <row r="425" spans="1:5" ht="47.25" x14ac:dyDescent="0.25">
      <c r="A425" s="4">
        <f t="shared" si="6"/>
        <v>424</v>
      </c>
      <c r="B425" s="4" t="s">
        <v>545</v>
      </c>
      <c r="C425" s="5" t="s">
        <v>546</v>
      </c>
      <c r="D425" s="4">
        <v>14</v>
      </c>
      <c r="E425" s="4">
        <v>2</v>
      </c>
    </row>
    <row r="426" spans="1:5" x14ac:dyDescent="0.25">
      <c r="A426" s="4">
        <f t="shared" si="6"/>
        <v>425</v>
      </c>
      <c r="B426" s="4" t="s">
        <v>547</v>
      </c>
      <c r="C426" s="5" t="s">
        <v>548</v>
      </c>
      <c r="D426" s="4">
        <v>14</v>
      </c>
      <c r="E426" s="4">
        <v>4</v>
      </c>
    </row>
    <row r="427" spans="1:5" x14ac:dyDescent="0.25">
      <c r="A427" s="4">
        <f t="shared" si="6"/>
        <v>426</v>
      </c>
      <c r="B427" s="4" t="s">
        <v>549</v>
      </c>
      <c r="C427" s="5" t="s">
        <v>550</v>
      </c>
      <c r="D427" s="4">
        <v>14</v>
      </c>
      <c r="E427" s="4">
        <v>4</v>
      </c>
    </row>
    <row r="428" spans="1:5" x14ac:dyDescent="0.25">
      <c r="A428" s="4">
        <f t="shared" si="6"/>
        <v>427</v>
      </c>
      <c r="B428" s="4" t="s">
        <v>551</v>
      </c>
      <c r="C428" s="5" t="s">
        <v>552</v>
      </c>
      <c r="D428" s="4">
        <v>14</v>
      </c>
      <c r="E428" s="4">
        <v>4</v>
      </c>
    </row>
    <row r="429" spans="1:5" ht="63" x14ac:dyDescent="0.25">
      <c r="A429" s="4">
        <f t="shared" si="6"/>
        <v>428</v>
      </c>
      <c r="B429" s="4" t="s">
        <v>1399</v>
      </c>
      <c r="C429" s="5" t="s">
        <v>1180</v>
      </c>
      <c r="D429" s="4">
        <v>15</v>
      </c>
      <c r="E429" s="4">
        <v>1</v>
      </c>
    </row>
    <row r="430" spans="1:5" ht="267.75" x14ac:dyDescent="0.25">
      <c r="A430" s="4">
        <f t="shared" si="6"/>
        <v>429</v>
      </c>
      <c r="B430" s="4" t="s">
        <v>1400</v>
      </c>
      <c r="C430" s="5" t="s">
        <v>1140</v>
      </c>
      <c r="D430" s="4">
        <v>15</v>
      </c>
      <c r="E430" s="4">
        <v>2</v>
      </c>
    </row>
    <row r="431" spans="1:5" ht="110.25" x14ac:dyDescent="0.25">
      <c r="A431" s="4">
        <f t="shared" si="6"/>
        <v>430</v>
      </c>
      <c r="B431" s="4" t="s">
        <v>361</v>
      </c>
      <c r="C431" s="5" t="s">
        <v>553</v>
      </c>
      <c r="D431" s="4">
        <v>15</v>
      </c>
      <c r="E431" s="4">
        <v>1</v>
      </c>
    </row>
    <row r="432" spans="1:5" ht="409.5" x14ac:dyDescent="0.25">
      <c r="A432" s="4">
        <f t="shared" si="6"/>
        <v>431</v>
      </c>
      <c r="B432" s="4" t="s">
        <v>1401</v>
      </c>
      <c r="C432" s="5" t="s">
        <v>1153</v>
      </c>
      <c r="D432" s="4">
        <v>15</v>
      </c>
      <c r="E432" s="4">
        <v>2</v>
      </c>
    </row>
    <row r="433" spans="1:5" ht="236.25" x14ac:dyDescent="0.25">
      <c r="A433" s="4">
        <f t="shared" si="6"/>
        <v>432</v>
      </c>
      <c r="B433" s="4" t="s">
        <v>1402</v>
      </c>
      <c r="C433" s="5" t="s">
        <v>1154</v>
      </c>
      <c r="D433" s="4">
        <v>15</v>
      </c>
      <c r="E433" s="4">
        <v>1</v>
      </c>
    </row>
    <row r="434" spans="1:5" ht="299.25" x14ac:dyDescent="0.25">
      <c r="A434" s="4">
        <f t="shared" si="6"/>
        <v>433</v>
      </c>
      <c r="B434" s="4" t="s">
        <v>1403</v>
      </c>
      <c r="C434" s="5" t="s">
        <v>1155</v>
      </c>
      <c r="D434" s="4">
        <v>15</v>
      </c>
      <c r="E434" s="4">
        <v>1</v>
      </c>
    </row>
    <row r="435" spans="1:5" ht="299.25" x14ac:dyDescent="0.25">
      <c r="A435" s="4">
        <f t="shared" si="6"/>
        <v>434</v>
      </c>
      <c r="B435" s="4" t="s">
        <v>1404</v>
      </c>
      <c r="C435" s="5" t="s">
        <v>1156</v>
      </c>
      <c r="D435" s="4">
        <v>15</v>
      </c>
      <c r="E435" s="4">
        <v>1</v>
      </c>
    </row>
    <row r="436" spans="1:5" ht="299.25" x14ac:dyDescent="0.25">
      <c r="A436" s="4">
        <f t="shared" si="6"/>
        <v>435</v>
      </c>
      <c r="B436" s="4" t="s">
        <v>1405</v>
      </c>
      <c r="C436" s="5" t="s">
        <v>1157</v>
      </c>
      <c r="D436" s="4">
        <v>15</v>
      </c>
      <c r="E436" s="4">
        <v>1</v>
      </c>
    </row>
    <row r="437" spans="1:5" ht="315" x14ac:dyDescent="0.25">
      <c r="A437" s="4">
        <f t="shared" si="6"/>
        <v>436</v>
      </c>
      <c r="B437" s="4" t="s">
        <v>1406</v>
      </c>
      <c r="C437" s="5" t="s">
        <v>1158</v>
      </c>
      <c r="D437" s="4">
        <v>15</v>
      </c>
      <c r="E437" s="4">
        <v>1</v>
      </c>
    </row>
    <row r="438" spans="1:5" ht="299.25" x14ac:dyDescent="0.25">
      <c r="A438" s="4">
        <f t="shared" si="6"/>
        <v>437</v>
      </c>
      <c r="B438" s="4" t="s">
        <v>1407</v>
      </c>
      <c r="C438" s="5" t="s">
        <v>1159</v>
      </c>
      <c r="D438" s="4">
        <v>15</v>
      </c>
      <c r="E438" s="4">
        <v>1</v>
      </c>
    </row>
    <row r="439" spans="1:5" ht="63" x14ac:dyDescent="0.25">
      <c r="A439" s="4">
        <f t="shared" si="6"/>
        <v>438</v>
      </c>
      <c r="B439" s="4" t="s">
        <v>1408</v>
      </c>
      <c r="C439" s="5" t="s">
        <v>554</v>
      </c>
      <c r="D439" s="4">
        <v>15</v>
      </c>
      <c r="E439" s="4">
        <v>1</v>
      </c>
    </row>
    <row r="440" spans="1:5" ht="78.75" x14ac:dyDescent="0.25">
      <c r="A440" s="4">
        <f t="shared" si="6"/>
        <v>439</v>
      </c>
      <c r="B440" s="4" t="s">
        <v>368</v>
      </c>
      <c r="C440" s="5" t="s">
        <v>1141</v>
      </c>
      <c r="D440" s="4">
        <v>15</v>
      </c>
      <c r="E440" s="4">
        <v>1</v>
      </c>
    </row>
    <row r="441" spans="1:5" ht="220.5" x14ac:dyDescent="0.25">
      <c r="A441" s="4">
        <f t="shared" si="6"/>
        <v>440</v>
      </c>
      <c r="B441" s="4" t="s">
        <v>1409</v>
      </c>
      <c r="C441" s="5" t="s">
        <v>1168</v>
      </c>
      <c r="D441" s="4">
        <v>15</v>
      </c>
      <c r="E441" s="4">
        <v>2</v>
      </c>
    </row>
    <row r="442" spans="1:5" ht="47.25" x14ac:dyDescent="0.25">
      <c r="A442" s="4">
        <f t="shared" si="6"/>
        <v>441</v>
      </c>
      <c r="B442" s="4" t="s">
        <v>555</v>
      </c>
      <c r="C442" s="5" t="s">
        <v>1070</v>
      </c>
      <c r="D442" s="4">
        <v>15</v>
      </c>
      <c r="E442" s="4">
        <v>2</v>
      </c>
    </row>
    <row r="443" spans="1:5" ht="283.5" x14ac:dyDescent="0.25">
      <c r="A443" s="4">
        <f t="shared" si="6"/>
        <v>442</v>
      </c>
      <c r="B443" s="4" t="s">
        <v>1410</v>
      </c>
      <c r="C443" s="5" t="s">
        <v>1169</v>
      </c>
      <c r="D443" s="4">
        <v>15</v>
      </c>
      <c r="E443" s="4">
        <v>2</v>
      </c>
    </row>
    <row r="444" spans="1:5" ht="47.25" x14ac:dyDescent="0.25">
      <c r="A444" s="4">
        <f t="shared" si="6"/>
        <v>443</v>
      </c>
      <c r="B444" s="4" t="s">
        <v>1411</v>
      </c>
      <c r="C444" s="5" t="s">
        <v>1071</v>
      </c>
      <c r="D444" s="4">
        <v>15</v>
      </c>
      <c r="E444" s="4">
        <v>2</v>
      </c>
    </row>
    <row r="445" spans="1:5" ht="299.25" x14ac:dyDescent="0.25">
      <c r="A445" s="4">
        <f t="shared" si="6"/>
        <v>444</v>
      </c>
      <c r="B445" s="4" t="s">
        <v>1412</v>
      </c>
      <c r="C445" s="5" t="s">
        <v>1148</v>
      </c>
      <c r="D445" s="4">
        <v>15</v>
      </c>
      <c r="E445" s="4">
        <v>2</v>
      </c>
    </row>
    <row r="446" spans="1:5" ht="110.25" x14ac:dyDescent="0.25">
      <c r="A446" s="4">
        <f t="shared" si="6"/>
        <v>445</v>
      </c>
      <c r="B446" s="4" t="s">
        <v>1413</v>
      </c>
      <c r="C446" s="5" t="s">
        <v>1142</v>
      </c>
      <c r="D446" s="4">
        <v>15</v>
      </c>
      <c r="E446" s="4">
        <v>2</v>
      </c>
    </row>
    <row r="447" spans="1:5" ht="157.5" x14ac:dyDescent="0.25">
      <c r="A447" s="4">
        <f t="shared" si="6"/>
        <v>446</v>
      </c>
      <c r="B447" s="4" t="s">
        <v>1414</v>
      </c>
      <c r="C447" s="5" t="s">
        <v>1149</v>
      </c>
      <c r="D447" s="4">
        <v>15</v>
      </c>
      <c r="E447" s="4">
        <v>2</v>
      </c>
    </row>
    <row r="448" spans="1:5" ht="409.5" x14ac:dyDescent="0.25">
      <c r="A448" s="4">
        <f t="shared" si="6"/>
        <v>447</v>
      </c>
      <c r="B448" s="4" t="s">
        <v>278</v>
      </c>
      <c r="C448" s="5" t="s">
        <v>1170</v>
      </c>
      <c r="D448" s="4">
        <v>15</v>
      </c>
      <c r="E448" s="4">
        <v>1</v>
      </c>
    </row>
    <row r="449" spans="1:5" ht="157.5" x14ac:dyDescent="0.25">
      <c r="A449" s="4">
        <f t="shared" si="6"/>
        <v>448</v>
      </c>
      <c r="B449" s="4" t="s">
        <v>514</v>
      </c>
      <c r="C449" s="5" t="s">
        <v>1160</v>
      </c>
      <c r="D449" s="4">
        <v>15</v>
      </c>
      <c r="E449" s="4">
        <v>1</v>
      </c>
    </row>
    <row r="450" spans="1:5" ht="94.5" x14ac:dyDescent="0.25">
      <c r="A450" s="4">
        <f t="shared" si="6"/>
        <v>449</v>
      </c>
      <c r="B450" s="4" t="s">
        <v>515</v>
      </c>
      <c r="C450" s="5" t="s">
        <v>1161</v>
      </c>
      <c r="D450" s="4">
        <v>15</v>
      </c>
      <c r="E450" s="4">
        <v>1</v>
      </c>
    </row>
    <row r="451" spans="1:5" ht="409.5" x14ac:dyDescent="0.25">
      <c r="A451" s="4">
        <f t="shared" si="6"/>
        <v>450</v>
      </c>
      <c r="B451" s="4" t="s">
        <v>286</v>
      </c>
      <c r="C451" s="5" t="s">
        <v>1150</v>
      </c>
      <c r="D451" s="4">
        <v>15</v>
      </c>
      <c r="E451" s="4">
        <v>1</v>
      </c>
    </row>
    <row r="452" spans="1:5" ht="63" x14ac:dyDescent="0.25">
      <c r="A452" s="4">
        <f t="shared" si="6"/>
        <v>451</v>
      </c>
      <c r="B452" s="4" t="s">
        <v>288</v>
      </c>
      <c r="C452" s="5" t="s">
        <v>556</v>
      </c>
      <c r="D452" s="4">
        <v>15</v>
      </c>
      <c r="E452" s="4">
        <v>2</v>
      </c>
    </row>
    <row r="453" spans="1:5" ht="78.75" x14ac:dyDescent="0.25">
      <c r="A453" s="4">
        <f t="shared" si="6"/>
        <v>452</v>
      </c>
      <c r="B453" s="4" t="s">
        <v>557</v>
      </c>
      <c r="C453" s="5" t="s">
        <v>558</v>
      </c>
      <c r="D453" s="4">
        <v>15</v>
      </c>
      <c r="E453" s="4">
        <v>2</v>
      </c>
    </row>
    <row r="454" spans="1:5" ht="173.25" x14ac:dyDescent="0.25">
      <c r="A454" s="4">
        <f t="shared" si="6"/>
        <v>453</v>
      </c>
      <c r="B454" s="4" t="s">
        <v>1119</v>
      </c>
      <c r="C454" s="5" t="s">
        <v>1143</v>
      </c>
      <c r="D454" s="4">
        <v>15</v>
      </c>
      <c r="E454" s="4">
        <v>2</v>
      </c>
    </row>
    <row r="455" spans="1:5" ht="31.5" x14ac:dyDescent="0.25">
      <c r="A455" s="4">
        <f t="shared" si="6"/>
        <v>454</v>
      </c>
      <c r="B455" s="4" t="s">
        <v>559</v>
      </c>
      <c r="C455" s="5" t="s">
        <v>560</v>
      </c>
      <c r="D455" s="4">
        <v>15</v>
      </c>
      <c r="E455" s="4">
        <v>2</v>
      </c>
    </row>
    <row r="456" spans="1:5" x14ac:dyDescent="0.25">
      <c r="A456" s="4">
        <f t="shared" si="6"/>
        <v>455</v>
      </c>
      <c r="B456" s="4" t="s">
        <v>561</v>
      </c>
      <c r="C456" s="5" t="s">
        <v>562</v>
      </c>
      <c r="D456" s="4">
        <v>15</v>
      </c>
      <c r="E456" s="4">
        <v>2</v>
      </c>
    </row>
    <row r="457" spans="1:5" ht="141.75" x14ac:dyDescent="0.25">
      <c r="A457" s="4">
        <f t="shared" ref="A457:A521" si="7">ROW()-1</f>
        <v>456</v>
      </c>
      <c r="B457" s="4" t="s">
        <v>371</v>
      </c>
      <c r="C457" s="5" t="s">
        <v>1144</v>
      </c>
      <c r="D457" s="4">
        <v>15</v>
      </c>
      <c r="E457" s="4">
        <v>1</v>
      </c>
    </row>
    <row r="458" spans="1:5" ht="47.25" x14ac:dyDescent="0.25">
      <c r="A458" s="4">
        <f t="shared" si="7"/>
        <v>457</v>
      </c>
      <c r="B458" s="4" t="s">
        <v>563</v>
      </c>
      <c r="C458" s="5" t="s">
        <v>1145</v>
      </c>
      <c r="D458" s="4">
        <v>15</v>
      </c>
      <c r="E458" s="4">
        <v>1</v>
      </c>
    </row>
    <row r="459" spans="1:5" ht="157.5" x14ac:dyDescent="0.25">
      <c r="A459" s="4">
        <f t="shared" si="7"/>
        <v>458</v>
      </c>
      <c r="B459" s="4" t="s">
        <v>284</v>
      </c>
      <c r="C459" s="5" t="s">
        <v>1151</v>
      </c>
      <c r="D459" s="4">
        <v>15</v>
      </c>
      <c r="E459" s="4">
        <v>1</v>
      </c>
    </row>
    <row r="460" spans="1:5" ht="409.5" x14ac:dyDescent="0.25">
      <c r="A460" s="4">
        <f t="shared" si="7"/>
        <v>459</v>
      </c>
      <c r="B460" s="4" t="s">
        <v>564</v>
      </c>
      <c r="C460" s="5" t="s">
        <v>1162</v>
      </c>
      <c r="D460" s="4">
        <v>15</v>
      </c>
      <c r="E460" s="4">
        <v>2</v>
      </c>
    </row>
    <row r="461" spans="1:5" ht="94.5" x14ac:dyDescent="0.25">
      <c r="A461" s="4">
        <f t="shared" si="7"/>
        <v>460</v>
      </c>
      <c r="B461" s="4" t="s">
        <v>565</v>
      </c>
      <c r="C461" s="5" t="s">
        <v>566</v>
      </c>
      <c r="D461" s="4">
        <v>15</v>
      </c>
      <c r="E461" s="4">
        <v>1</v>
      </c>
    </row>
    <row r="462" spans="1:5" ht="409.5" x14ac:dyDescent="0.25">
      <c r="A462" s="4">
        <f t="shared" si="7"/>
        <v>461</v>
      </c>
      <c r="B462" s="4" t="s">
        <v>567</v>
      </c>
      <c r="C462" s="5" t="s">
        <v>1146</v>
      </c>
      <c r="D462" s="4">
        <v>15</v>
      </c>
      <c r="E462" s="4">
        <v>2</v>
      </c>
    </row>
    <row r="463" spans="1:5" x14ac:dyDescent="0.25">
      <c r="A463" s="4">
        <f t="shared" si="7"/>
        <v>462</v>
      </c>
      <c r="B463" s="4" t="s">
        <v>568</v>
      </c>
      <c r="C463" s="5" t="s">
        <v>569</v>
      </c>
      <c r="D463" s="4">
        <v>15</v>
      </c>
      <c r="E463" s="4">
        <v>2</v>
      </c>
    </row>
    <row r="464" spans="1:5" x14ac:dyDescent="0.25">
      <c r="A464" s="4">
        <f t="shared" si="7"/>
        <v>463</v>
      </c>
      <c r="B464" s="4" t="s">
        <v>570</v>
      </c>
      <c r="C464" s="5" t="s">
        <v>571</v>
      </c>
      <c r="D464" s="4">
        <v>15</v>
      </c>
      <c r="E464" s="4">
        <v>2</v>
      </c>
    </row>
    <row r="465" spans="1:5" ht="220.5" x14ac:dyDescent="0.25">
      <c r="A465" s="4">
        <f t="shared" si="7"/>
        <v>464</v>
      </c>
      <c r="B465" s="4" t="s">
        <v>1415</v>
      </c>
      <c r="C465" s="5" t="s">
        <v>572</v>
      </c>
      <c r="D465" s="4">
        <v>15</v>
      </c>
      <c r="E465" s="4">
        <v>2</v>
      </c>
    </row>
    <row r="466" spans="1:5" ht="141.75" x14ac:dyDescent="0.25">
      <c r="A466" s="4">
        <f t="shared" si="7"/>
        <v>465</v>
      </c>
      <c r="B466" s="4" t="s">
        <v>1371</v>
      </c>
      <c r="C466" s="5" t="s">
        <v>1163</v>
      </c>
      <c r="D466" s="4">
        <v>15</v>
      </c>
      <c r="E466" s="4">
        <v>2</v>
      </c>
    </row>
    <row r="467" spans="1:5" ht="157.5" x14ac:dyDescent="0.25">
      <c r="A467" s="4">
        <f t="shared" si="7"/>
        <v>466</v>
      </c>
      <c r="B467" s="4" t="s">
        <v>302</v>
      </c>
      <c r="C467" s="5" t="s">
        <v>1152</v>
      </c>
      <c r="D467" s="4">
        <v>15</v>
      </c>
      <c r="E467" s="4">
        <v>1</v>
      </c>
    </row>
    <row r="468" spans="1:5" ht="110.25" x14ac:dyDescent="0.25">
      <c r="A468" s="4">
        <f t="shared" si="7"/>
        <v>467</v>
      </c>
      <c r="B468" s="4" t="s">
        <v>431</v>
      </c>
      <c r="C468" s="5" t="s">
        <v>1147</v>
      </c>
      <c r="D468" s="4">
        <v>15</v>
      </c>
      <c r="E468" s="4">
        <v>2</v>
      </c>
    </row>
    <row r="469" spans="1:5" ht="346.5" x14ac:dyDescent="0.25">
      <c r="A469" s="4">
        <f t="shared" si="7"/>
        <v>468</v>
      </c>
      <c r="B469" s="4" t="s">
        <v>1416</v>
      </c>
      <c r="C469" s="5" t="s">
        <v>1164</v>
      </c>
      <c r="D469" s="4">
        <v>15</v>
      </c>
      <c r="E469" s="4">
        <v>2</v>
      </c>
    </row>
    <row r="470" spans="1:5" x14ac:dyDescent="0.25">
      <c r="A470" s="4">
        <f t="shared" si="7"/>
        <v>469</v>
      </c>
      <c r="B470" s="4" t="s">
        <v>305</v>
      </c>
      <c r="C470" s="5" t="s">
        <v>573</v>
      </c>
      <c r="D470" s="4">
        <v>15</v>
      </c>
      <c r="E470" s="4">
        <v>4</v>
      </c>
    </row>
    <row r="471" spans="1:5" x14ac:dyDescent="0.25">
      <c r="A471" s="4">
        <f t="shared" si="7"/>
        <v>470</v>
      </c>
      <c r="B471" s="4" t="s">
        <v>574</v>
      </c>
      <c r="C471" s="5" t="s">
        <v>575</v>
      </c>
      <c r="D471" s="4">
        <v>15</v>
      </c>
      <c r="E471" s="4">
        <v>4</v>
      </c>
    </row>
    <row r="472" spans="1:5" ht="173.25" x14ac:dyDescent="0.25">
      <c r="A472" s="4">
        <f t="shared" si="7"/>
        <v>471</v>
      </c>
      <c r="B472" s="4" t="s">
        <v>1417</v>
      </c>
      <c r="C472" s="5" t="s">
        <v>1171</v>
      </c>
      <c r="D472" s="4">
        <v>15</v>
      </c>
      <c r="E472" s="4">
        <v>2</v>
      </c>
    </row>
    <row r="473" spans="1:5" ht="173.25" x14ac:dyDescent="0.25">
      <c r="A473" s="4">
        <f t="shared" si="7"/>
        <v>472</v>
      </c>
      <c r="B473" s="4" t="s">
        <v>1418</v>
      </c>
      <c r="C473" s="5" t="s">
        <v>1172</v>
      </c>
      <c r="D473" s="4">
        <v>15</v>
      </c>
      <c r="E473" s="4">
        <v>2</v>
      </c>
    </row>
    <row r="474" spans="1:5" ht="173.25" x14ac:dyDescent="0.25">
      <c r="A474" s="4">
        <f t="shared" si="7"/>
        <v>473</v>
      </c>
      <c r="B474" s="4" t="s">
        <v>1419</v>
      </c>
      <c r="C474" s="5" t="s">
        <v>1173</v>
      </c>
      <c r="D474" s="4">
        <v>15</v>
      </c>
      <c r="E474" s="4">
        <v>2</v>
      </c>
    </row>
    <row r="475" spans="1:5" ht="47.25" x14ac:dyDescent="0.25">
      <c r="A475" s="4">
        <f t="shared" si="7"/>
        <v>474</v>
      </c>
      <c r="B475" s="4" t="s">
        <v>537</v>
      </c>
      <c r="C475" s="5" t="s">
        <v>1174</v>
      </c>
      <c r="D475" s="4">
        <v>15</v>
      </c>
      <c r="E475" s="4">
        <v>1</v>
      </c>
    </row>
    <row r="476" spans="1:5" ht="236.25" x14ac:dyDescent="0.25">
      <c r="A476" s="4">
        <f t="shared" si="7"/>
        <v>475</v>
      </c>
      <c r="B476" s="4" t="s">
        <v>576</v>
      </c>
      <c r="C476" s="5" t="s">
        <v>1175</v>
      </c>
      <c r="D476" s="4">
        <v>15</v>
      </c>
      <c r="E476" s="4">
        <v>2</v>
      </c>
    </row>
    <row r="477" spans="1:5" ht="252" x14ac:dyDescent="0.25">
      <c r="A477" s="4">
        <f t="shared" si="7"/>
        <v>476</v>
      </c>
      <c r="B477" s="4" t="s">
        <v>488</v>
      </c>
      <c r="C477" s="5" t="s">
        <v>1176</v>
      </c>
      <c r="D477" s="4">
        <v>15</v>
      </c>
      <c r="E477" s="4">
        <v>2</v>
      </c>
    </row>
    <row r="478" spans="1:5" ht="141.75" x14ac:dyDescent="0.25">
      <c r="A478" s="4">
        <f t="shared" si="7"/>
        <v>477</v>
      </c>
      <c r="B478" s="4" t="s">
        <v>446</v>
      </c>
      <c r="C478" s="5" t="s">
        <v>1177</v>
      </c>
      <c r="D478" s="4">
        <v>15</v>
      </c>
      <c r="E478" s="4">
        <v>2</v>
      </c>
    </row>
    <row r="479" spans="1:5" x14ac:dyDescent="0.25">
      <c r="A479" s="4">
        <f t="shared" si="7"/>
        <v>478</v>
      </c>
      <c r="B479" s="4" t="s">
        <v>577</v>
      </c>
      <c r="C479" s="5" t="s">
        <v>578</v>
      </c>
      <c r="D479" s="4">
        <v>15</v>
      </c>
      <c r="E479" s="4">
        <v>4</v>
      </c>
    </row>
    <row r="480" spans="1:5" x14ac:dyDescent="0.25">
      <c r="A480" s="4">
        <f t="shared" si="7"/>
        <v>479</v>
      </c>
      <c r="B480" s="4" t="s">
        <v>579</v>
      </c>
      <c r="C480" s="5" t="s">
        <v>580</v>
      </c>
      <c r="D480" s="4">
        <v>15</v>
      </c>
      <c r="E480" s="4">
        <v>4</v>
      </c>
    </row>
    <row r="481" spans="1:5" ht="47.25" x14ac:dyDescent="0.25">
      <c r="A481" s="4">
        <f t="shared" si="7"/>
        <v>480</v>
      </c>
      <c r="B481" s="4" t="s">
        <v>581</v>
      </c>
      <c r="C481" s="5" t="s">
        <v>582</v>
      </c>
      <c r="D481" s="4">
        <v>15</v>
      </c>
      <c r="E481" s="4">
        <v>1</v>
      </c>
    </row>
    <row r="482" spans="1:5" ht="47.25" x14ac:dyDescent="0.25">
      <c r="A482" s="4">
        <f t="shared" si="7"/>
        <v>481</v>
      </c>
      <c r="B482" s="4" t="s">
        <v>583</v>
      </c>
      <c r="C482" s="5" t="s">
        <v>584</v>
      </c>
      <c r="D482" s="4">
        <v>15</v>
      </c>
      <c r="E482" s="4">
        <v>2</v>
      </c>
    </row>
    <row r="483" spans="1:5" ht="409.5" x14ac:dyDescent="0.25">
      <c r="A483" s="4">
        <f t="shared" si="7"/>
        <v>482</v>
      </c>
      <c r="B483" s="4" t="s">
        <v>585</v>
      </c>
      <c r="C483" s="5" t="s">
        <v>586</v>
      </c>
      <c r="D483" s="4">
        <v>15</v>
      </c>
      <c r="E483" s="4">
        <v>2</v>
      </c>
    </row>
    <row r="484" spans="1:5" x14ac:dyDescent="0.25">
      <c r="A484" s="4">
        <f t="shared" si="7"/>
        <v>483</v>
      </c>
      <c r="B484" s="4" t="s">
        <v>326</v>
      </c>
      <c r="C484" s="5" t="s">
        <v>587</v>
      </c>
      <c r="D484" s="4">
        <v>15</v>
      </c>
      <c r="E484" s="4">
        <v>4</v>
      </c>
    </row>
    <row r="485" spans="1:5" x14ac:dyDescent="0.25">
      <c r="A485" s="4">
        <f t="shared" si="7"/>
        <v>484</v>
      </c>
      <c r="B485" s="4" t="s">
        <v>324</v>
      </c>
      <c r="C485" s="5" t="s">
        <v>588</v>
      </c>
      <c r="D485" s="4">
        <v>15</v>
      </c>
      <c r="E485" s="4">
        <v>4</v>
      </c>
    </row>
    <row r="486" spans="1:5" x14ac:dyDescent="0.25">
      <c r="A486" s="4">
        <f t="shared" si="7"/>
        <v>485</v>
      </c>
      <c r="B486" s="4" t="s">
        <v>551</v>
      </c>
      <c r="C486" s="5" t="s">
        <v>589</v>
      </c>
      <c r="D486" s="4">
        <v>15</v>
      </c>
      <c r="E486" s="4">
        <v>4</v>
      </c>
    </row>
    <row r="487" spans="1:5" ht="78.75" x14ac:dyDescent="0.25">
      <c r="A487" s="4">
        <f t="shared" si="7"/>
        <v>486</v>
      </c>
      <c r="B487" s="4" t="s">
        <v>1420</v>
      </c>
      <c r="C487" s="5" t="s">
        <v>590</v>
      </c>
      <c r="D487" s="4">
        <v>18</v>
      </c>
      <c r="E487" s="4">
        <v>1</v>
      </c>
    </row>
    <row r="488" spans="1:5" ht="189" x14ac:dyDescent="0.25">
      <c r="A488" s="4">
        <f t="shared" si="7"/>
        <v>487</v>
      </c>
      <c r="B488" s="4" t="s">
        <v>1436</v>
      </c>
      <c r="C488" s="5" t="s">
        <v>591</v>
      </c>
      <c r="D488" s="4">
        <v>18</v>
      </c>
      <c r="E488" s="4">
        <v>4</v>
      </c>
    </row>
    <row r="489" spans="1:5" ht="189" x14ac:dyDescent="0.25">
      <c r="A489" s="4">
        <f t="shared" si="7"/>
        <v>488</v>
      </c>
      <c r="B489" s="4" t="s">
        <v>361</v>
      </c>
      <c r="C489" s="5" t="s">
        <v>592</v>
      </c>
      <c r="D489" s="4">
        <v>18</v>
      </c>
      <c r="E489" s="4">
        <v>1</v>
      </c>
    </row>
    <row r="490" spans="1:5" ht="378" x14ac:dyDescent="0.25">
      <c r="A490" s="4">
        <f t="shared" si="7"/>
        <v>489</v>
      </c>
      <c r="B490" s="4" t="s">
        <v>1401</v>
      </c>
      <c r="C490" s="5" t="s">
        <v>593</v>
      </c>
      <c r="D490" s="4">
        <v>18</v>
      </c>
      <c r="E490" s="4">
        <v>4</v>
      </c>
    </row>
    <row r="491" spans="1:5" ht="189" x14ac:dyDescent="0.25">
      <c r="A491" s="4">
        <f t="shared" si="7"/>
        <v>490</v>
      </c>
      <c r="B491" s="4" t="s">
        <v>1402</v>
      </c>
      <c r="C491" s="5" t="s">
        <v>594</v>
      </c>
      <c r="D491" s="4">
        <v>18</v>
      </c>
      <c r="E491" s="4">
        <v>4</v>
      </c>
    </row>
    <row r="492" spans="1:5" ht="189" x14ac:dyDescent="0.25">
      <c r="A492" s="4">
        <f t="shared" si="7"/>
        <v>491</v>
      </c>
      <c r="B492" s="4" t="s">
        <v>1403</v>
      </c>
      <c r="C492" s="5" t="s">
        <v>595</v>
      </c>
      <c r="D492" s="4">
        <v>18</v>
      </c>
      <c r="E492" s="4">
        <v>4</v>
      </c>
    </row>
    <row r="493" spans="1:5" ht="189" x14ac:dyDescent="0.25">
      <c r="A493" s="4">
        <f t="shared" si="7"/>
        <v>492</v>
      </c>
      <c r="B493" s="4" t="s">
        <v>1404</v>
      </c>
      <c r="C493" s="5" t="s">
        <v>596</v>
      </c>
      <c r="D493" s="4">
        <v>18</v>
      </c>
      <c r="E493" s="4">
        <v>4</v>
      </c>
    </row>
    <row r="494" spans="1:5" ht="189" x14ac:dyDescent="0.25">
      <c r="A494" s="4">
        <f t="shared" si="7"/>
        <v>493</v>
      </c>
      <c r="B494" s="4" t="s">
        <v>1405</v>
      </c>
      <c r="C494" s="5" t="s">
        <v>597</v>
      </c>
      <c r="D494" s="4">
        <v>18</v>
      </c>
      <c r="E494" s="4">
        <v>4</v>
      </c>
    </row>
    <row r="495" spans="1:5" ht="31.5" x14ac:dyDescent="0.25">
      <c r="A495" s="4">
        <f t="shared" si="7"/>
        <v>494</v>
      </c>
      <c r="B495" s="4" t="s">
        <v>368</v>
      </c>
      <c r="C495" s="5" t="s">
        <v>598</v>
      </c>
      <c r="D495" s="4">
        <v>18</v>
      </c>
      <c r="E495" s="4">
        <v>4</v>
      </c>
    </row>
    <row r="496" spans="1:5" ht="409.5" x14ac:dyDescent="0.25">
      <c r="A496" s="4">
        <f t="shared" si="7"/>
        <v>495</v>
      </c>
      <c r="B496" s="4" t="s">
        <v>1422</v>
      </c>
      <c r="C496" s="5" t="s">
        <v>599</v>
      </c>
      <c r="D496" s="4">
        <v>18</v>
      </c>
      <c r="E496" s="4">
        <v>2</v>
      </c>
    </row>
    <row r="497" spans="1:5" ht="31.5" x14ac:dyDescent="0.25">
      <c r="A497" s="4">
        <f t="shared" si="7"/>
        <v>496</v>
      </c>
      <c r="B497" s="4" t="s">
        <v>600</v>
      </c>
      <c r="C497" s="5" t="s">
        <v>601</v>
      </c>
      <c r="D497" s="4">
        <v>18</v>
      </c>
      <c r="E497" s="4">
        <v>2</v>
      </c>
    </row>
    <row r="498" spans="1:5" ht="31.5" x14ac:dyDescent="0.25">
      <c r="A498" s="4">
        <f t="shared" si="7"/>
        <v>497</v>
      </c>
      <c r="B498" s="4" t="s">
        <v>295</v>
      </c>
      <c r="C498" s="5" t="s">
        <v>602</v>
      </c>
      <c r="D498" s="4">
        <v>18</v>
      </c>
      <c r="E498" s="4">
        <v>2</v>
      </c>
    </row>
    <row r="499" spans="1:5" ht="362.25" x14ac:dyDescent="0.25">
      <c r="A499" s="4">
        <f t="shared" si="7"/>
        <v>498</v>
      </c>
      <c r="B499" s="4" t="s">
        <v>1423</v>
      </c>
      <c r="C499" s="5" t="s">
        <v>603</v>
      </c>
      <c r="D499" s="4">
        <v>18</v>
      </c>
      <c r="E499" s="4">
        <v>2</v>
      </c>
    </row>
    <row r="500" spans="1:5" ht="31.5" x14ac:dyDescent="0.25">
      <c r="A500" s="4">
        <f t="shared" si="7"/>
        <v>499</v>
      </c>
      <c r="B500" s="4" t="s">
        <v>1424</v>
      </c>
      <c r="C500" s="5" t="s">
        <v>604</v>
      </c>
      <c r="D500" s="4">
        <v>18</v>
      </c>
      <c r="E500" s="4">
        <v>2</v>
      </c>
    </row>
    <row r="501" spans="1:5" ht="409.5" x14ac:dyDescent="0.25">
      <c r="A501" s="4">
        <f t="shared" si="7"/>
        <v>500</v>
      </c>
      <c r="B501" s="4" t="s">
        <v>1437</v>
      </c>
      <c r="C501" s="5" t="s">
        <v>1225</v>
      </c>
      <c r="D501" s="4">
        <v>18</v>
      </c>
      <c r="E501" s="4">
        <v>2</v>
      </c>
    </row>
    <row r="502" spans="1:5" ht="267.75" x14ac:dyDescent="0.25">
      <c r="A502" s="4">
        <f t="shared" si="7"/>
        <v>501</v>
      </c>
      <c r="B502" s="4" t="s">
        <v>1426</v>
      </c>
      <c r="C502" s="5" t="s">
        <v>1226</v>
      </c>
      <c r="D502" s="4">
        <v>18</v>
      </c>
      <c r="E502" s="4">
        <v>2</v>
      </c>
    </row>
    <row r="503" spans="1:5" ht="204.75" x14ac:dyDescent="0.25">
      <c r="A503" s="4">
        <f t="shared" si="7"/>
        <v>502</v>
      </c>
      <c r="B503" s="4" t="s">
        <v>1427</v>
      </c>
      <c r="C503" s="5" t="s">
        <v>1227</v>
      </c>
      <c r="D503" s="4">
        <v>18</v>
      </c>
      <c r="E503" s="4">
        <v>2</v>
      </c>
    </row>
    <row r="504" spans="1:5" ht="409.5" x14ac:dyDescent="0.25">
      <c r="A504" s="4">
        <f t="shared" si="7"/>
        <v>503</v>
      </c>
      <c r="B504" s="4" t="s">
        <v>513</v>
      </c>
      <c r="C504" s="5" t="s">
        <v>1228</v>
      </c>
      <c r="D504" s="4">
        <v>18</v>
      </c>
      <c r="E504" s="4">
        <v>1</v>
      </c>
    </row>
    <row r="505" spans="1:5" ht="409.5" x14ac:dyDescent="0.25">
      <c r="A505" s="4">
        <f t="shared" si="7"/>
        <v>504</v>
      </c>
      <c r="B505" s="4" t="s">
        <v>605</v>
      </c>
      <c r="C505" s="5" t="s">
        <v>1229</v>
      </c>
      <c r="D505" s="4">
        <v>18</v>
      </c>
      <c r="E505" s="4">
        <v>1</v>
      </c>
    </row>
    <row r="506" spans="1:5" ht="346.5" x14ac:dyDescent="0.25">
      <c r="A506" s="4">
        <f t="shared" si="7"/>
        <v>505</v>
      </c>
      <c r="B506" s="4" t="s">
        <v>606</v>
      </c>
      <c r="C506" s="5" t="s">
        <v>1230</v>
      </c>
      <c r="D506" s="4">
        <v>18</v>
      </c>
      <c r="E506" s="4">
        <v>1</v>
      </c>
    </row>
    <row r="507" spans="1:5" ht="409.5" x14ac:dyDescent="0.25">
      <c r="A507" s="4">
        <f t="shared" si="7"/>
        <v>506</v>
      </c>
      <c r="B507" s="4" t="s">
        <v>286</v>
      </c>
      <c r="C507" s="5" t="s">
        <v>1231</v>
      </c>
      <c r="D507" s="4">
        <v>18</v>
      </c>
      <c r="E507" s="4">
        <v>1</v>
      </c>
    </row>
    <row r="508" spans="1:5" ht="47.25" x14ac:dyDescent="0.25">
      <c r="A508" s="4">
        <f t="shared" si="7"/>
        <v>507</v>
      </c>
      <c r="B508" s="4" t="s">
        <v>607</v>
      </c>
      <c r="C508" s="5" t="s">
        <v>1232</v>
      </c>
      <c r="D508" s="4">
        <v>18</v>
      </c>
      <c r="E508" s="4">
        <v>2</v>
      </c>
    </row>
    <row r="509" spans="1:5" x14ac:dyDescent="0.25">
      <c r="A509" s="4">
        <f>ROW()-1</f>
        <v>508</v>
      </c>
      <c r="B509" s="4" t="s">
        <v>1034</v>
      </c>
      <c r="C509" s="5" t="s">
        <v>1233</v>
      </c>
      <c r="D509" s="4">
        <v>18</v>
      </c>
      <c r="E509" s="4">
        <v>2</v>
      </c>
    </row>
    <row r="510" spans="1:5" x14ac:dyDescent="0.25">
      <c r="A510" s="4">
        <f t="shared" si="7"/>
        <v>509</v>
      </c>
      <c r="B510" s="4" t="s">
        <v>1033</v>
      </c>
      <c r="C510" s="5" t="s">
        <v>1234</v>
      </c>
      <c r="D510" s="4">
        <v>18</v>
      </c>
      <c r="E510" s="4">
        <v>2</v>
      </c>
    </row>
    <row r="511" spans="1:5" ht="126" x14ac:dyDescent="0.25">
      <c r="A511" s="4">
        <f t="shared" si="7"/>
        <v>510</v>
      </c>
      <c r="B511" s="4" t="s">
        <v>1314</v>
      </c>
      <c r="C511" s="5" t="s">
        <v>1582</v>
      </c>
      <c r="D511" s="4">
        <v>18</v>
      </c>
      <c r="E511" s="4">
        <v>3</v>
      </c>
    </row>
    <row r="512" spans="1:5" ht="63" x14ac:dyDescent="0.25">
      <c r="A512" s="4">
        <f t="shared" si="7"/>
        <v>511</v>
      </c>
      <c r="B512" s="4" t="s">
        <v>608</v>
      </c>
      <c r="C512" s="5" t="s">
        <v>1583</v>
      </c>
      <c r="D512" s="4">
        <v>18</v>
      </c>
      <c r="E512" s="4">
        <v>3</v>
      </c>
    </row>
    <row r="513" spans="1:5" ht="409.5" x14ac:dyDescent="0.25">
      <c r="A513" s="4">
        <f t="shared" si="7"/>
        <v>512</v>
      </c>
      <c r="B513" s="4" t="s">
        <v>467</v>
      </c>
      <c r="C513" s="5" t="s">
        <v>609</v>
      </c>
      <c r="D513" s="4">
        <v>18</v>
      </c>
      <c r="E513" s="4">
        <v>1</v>
      </c>
    </row>
    <row r="514" spans="1:5" x14ac:dyDescent="0.25">
      <c r="A514" s="4">
        <f t="shared" si="7"/>
        <v>513</v>
      </c>
      <c r="B514" s="4" t="s">
        <v>284</v>
      </c>
      <c r="C514" s="5" t="s">
        <v>610</v>
      </c>
      <c r="D514" s="4">
        <v>18</v>
      </c>
      <c r="E514" s="4">
        <v>4</v>
      </c>
    </row>
    <row r="515" spans="1:5" x14ac:dyDescent="0.25">
      <c r="A515" s="4">
        <f t="shared" si="7"/>
        <v>514</v>
      </c>
      <c r="B515" s="4" t="s">
        <v>373</v>
      </c>
      <c r="C515" s="5" t="s">
        <v>611</v>
      </c>
      <c r="D515" s="4">
        <v>18</v>
      </c>
      <c r="E515" s="4">
        <v>4</v>
      </c>
    </row>
    <row r="516" spans="1:5" x14ac:dyDescent="0.25">
      <c r="A516" s="4">
        <f t="shared" si="7"/>
        <v>515</v>
      </c>
      <c r="B516" s="4" t="s">
        <v>247</v>
      </c>
      <c r="C516" s="5" t="s">
        <v>612</v>
      </c>
      <c r="D516" s="4">
        <v>18</v>
      </c>
      <c r="E516" s="4">
        <v>4</v>
      </c>
    </row>
    <row r="517" spans="1:5" ht="63" x14ac:dyDescent="0.25">
      <c r="A517" s="4">
        <f t="shared" si="7"/>
        <v>516</v>
      </c>
      <c r="B517" s="4" t="s">
        <v>1429</v>
      </c>
      <c r="C517" s="5" t="s">
        <v>613</v>
      </c>
      <c r="D517" s="4">
        <v>18</v>
      </c>
      <c r="E517" s="4">
        <v>2</v>
      </c>
    </row>
    <row r="518" spans="1:5" ht="141.75" x14ac:dyDescent="0.25">
      <c r="A518" s="4">
        <f t="shared" si="7"/>
        <v>517</v>
      </c>
      <c r="B518" s="4" t="s">
        <v>1371</v>
      </c>
      <c r="C518" s="5" t="s">
        <v>614</v>
      </c>
      <c r="D518" s="4">
        <v>18</v>
      </c>
      <c r="E518" s="4">
        <v>2</v>
      </c>
    </row>
    <row r="519" spans="1:5" ht="94.5" x14ac:dyDescent="0.25">
      <c r="A519" s="4">
        <f t="shared" si="7"/>
        <v>518</v>
      </c>
      <c r="B519" s="4" t="s">
        <v>302</v>
      </c>
      <c r="C519" s="5" t="s">
        <v>615</v>
      </c>
      <c r="D519" s="4">
        <v>18</v>
      </c>
      <c r="E519" s="4">
        <v>1</v>
      </c>
    </row>
    <row r="520" spans="1:5" x14ac:dyDescent="0.25">
      <c r="A520" s="4">
        <f t="shared" si="7"/>
        <v>519</v>
      </c>
      <c r="B520" s="4" t="s">
        <v>616</v>
      </c>
      <c r="C520" s="5" t="s">
        <v>617</v>
      </c>
      <c r="D520" s="4">
        <v>18</v>
      </c>
      <c r="E520" s="4">
        <v>4</v>
      </c>
    </row>
    <row r="521" spans="1:5" x14ac:dyDescent="0.25">
      <c r="A521" s="4">
        <f t="shared" si="7"/>
        <v>520</v>
      </c>
      <c r="B521" s="4" t="s">
        <v>1416</v>
      </c>
      <c r="C521" s="5" t="s">
        <v>617</v>
      </c>
      <c r="D521" s="4">
        <v>18</v>
      </c>
      <c r="E521" s="4">
        <v>4</v>
      </c>
    </row>
    <row r="522" spans="1:5" ht="110.25" x14ac:dyDescent="0.25">
      <c r="A522" s="4">
        <f t="shared" ref="A522:A585" si="8">ROW()-1</f>
        <v>521</v>
      </c>
      <c r="B522" s="4" t="s">
        <v>305</v>
      </c>
      <c r="C522" s="5" t="s">
        <v>618</v>
      </c>
      <c r="D522" s="4">
        <v>18</v>
      </c>
      <c r="E522" s="4">
        <v>1</v>
      </c>
    </row>
    <row r="523" spans="1:5" x14ac:dyDescent="0.25">
      <c r="A523" s="4">
        <f t="shared" si="8"/>
        <v>522</v>
      </c>
      <c r="B523" s="4" t="s">
        <v>306</v>
      </c>
      <c r="C523" s="5" t="s">
        <v>619</v>
      </c>
      <c r="D523" s="4">
        <v>18</v>
      </c>
      <c r="E523" s="4">
        <v>4</v>
      </c>
    </row>
    <row r="524" spans="1:5" ht="47.25" x14ac:dyDescent="0.25">
      <c r="A524" s="4">
        <f t="shared" si="8"/>
        <v>523</v>
      </c>
      <c r="B524" s="4" t="s">
        <v>620</v>
      </c>
      <c r="C524" s="5" t="s">
        <v>621</v>
      </c>
      <c r="D524" s="4">
        <v>18</v>
      </c>
      <c r="E524" s="4">
        <v>4</v>
      </c>
    </row>
    <row r="525" spans="1:5" ht="267.75" x14ac:dyDescent="0.25">
      <c r="A525" s="4">
        <f t="shared" si="8"/>
        <v>524</v>
      </c>
      <c r="B525" s="4" t="s">
        <v>1418</v>
      </c>
      <c r="C525" s="5" t="s">
        <v>622</v>
      </c>
      <c r="D525" s="4">
        <v>18</v>
      </c>
      <c r="E525" s="4">
        <v>2</v>
      </c>
    </row>
    <row r="526" spans="1:5" ht="47.25" x14ac:dyDescent="0.25">
      <c r="A526" s="4">
        <f t="shared" si="8"/>
        <v>525</v>
      </c>
      <c r="B526" s="4" t="s">
        <v>1438</v>
      </c>
      <c r="C526" s="5" t="s">
        <v>623</v>
      </c>
      <c r="D526" s="4">
        <v>18</v>
      </c>
      <c r="E526" s="4">
        <v>2</v>
      </c>
    </row>
    <row r="527" spans="1:5" ht="47.25" x14ac:dyDescent="0.25">
      <c r="A527" s="4">
        <f t="shared" si="8"/>
        <v>526</v>
      </c>
      <c r="B527" s="4" t="s">
        <v>624</v>
      </c>
      <c r="C527" s="5" t="s">
        <v>625</v>
      </c>
      <c r="D527" s="4">
        <v>18</v>
      </c>
      <c r="E527" s="4">
        <v>2</v>
      </c>
    </row>
    <row r="528" spans="1:5" ht="189" x14ac:dyDescent="0.25">
      <c r="A528" s="4">
        <f t="shared" si="8"/>
        <v>527</v>
      </c>
      <c r="B528" s="4" t="s">
        <v>1430</v>
      </c>
      <c r="C528" s="5" t="s">
        <v>626</v>
      </c>
      <c r="D528" s="4">
        <v>18</v>
      </c>
      <c r="E528" s="4">
        <v>1</v>
      </c>
    </row>
    <row r="529" spans="1:5" x14ac:dyDescent="0.25">
      <c r="A529" s="4">
        <f t="shared" si="8"/>
        <v>528</v>
      </c>
      <c r="B529" s="4" t="s">
        <v>627</v>
      </c>
      <c r="C529" s="5" t="s">
        <v>628</v>
      </c>
      <c r="D529" s="4">
        <v>18</v>
      </c>
      <c r="E529" s="4">
        <v>4</v>
      </c>
    </row>
    <row r="530" spans="1:5" ht="409.5" x14ac:dyDescent="0.25">
      <c r="A530" s="4">
        <f t="shared" si="8"/>
        <v>529</v>
      </c>
      <c r="B530" s="4" t="s">
        <v>576</v>
      </c>
      <c r="C530" s="5" t="s">
        <v>1178</v>
      </c>
      <c r="D530" s="4">
        <v>18</v>
      </c>
      <c r="E530" s="4">
        <v>2</v>
      </c>
    </row>
    <row r="531" spans="1:5" x14ac:dyDescent="0.25">
      <c r="A531" s="4">
        <f t="shared" si="8"/>
        <v>530</v>
      </c>
      <c r="B531" s="4" t="s">
        <v>629</v>
      </c>
      <c r="C531" s="5" t="s">
        <v>630</v>
      </c>
      <c r="D531" s="4">
        <v>18</v>
      </c>
      <c r="E531" s="4">
        <v>4</v>
      </c>
    </row>
    <row r="532" spans="1:5" x14ac:dyDescent="0.25">
      <c r="A532" s="4">
        <f t="shared" si="8"/>
        <v>531</v>
      </c>
      <c r="B532" s="4" t="s">
        <v>631</v>
      </c>
      <c r="C532" s="5" t="s">
        <v>632</v>
      </c>
      <c r="D532" s="4">
        <v>18</v>
      </c>
      <c r="E532" s="4">
        <v>4</v>
      </c>
    </row>
    <row r="533" spans="1:5" ht="31.5" x14ac:dyDescent="0.25">
      <c r="A533" s="4">
        <f t="shared" si="8"/>
        <v>532</v>
      </c>
      <c r="B533" s="4" t="s">
        <v>633</v>
      </c>
      <c r="C533" s="5" t="s">
        <v>634</v>
      </c>
      <c r="D533" s="4">
        <v>18</v>
      </c>
      <c r="E533" s="4">
        <v>4</v>
      </c>
    </row>
    <row r="534" spans="1:5" x14ac:dyDescent="0.25">
      <c r="A534" s="4">
        <f t="shared" si="8"/>
        <v>533</v>
      </c>
      <c r="B534" s="4" t="s">
        <v>585</v>
      </c>
      <c r="C534" s="5" t="s">
        <v>635</v>
      </c>
      <c r="D534" s="4">
        <v>18</v>
      </c>
      <c r="E534" s="4">
        <v>4</v>
      </c>
    </row>
    <row r="535" spans="1:5" x14ac:dyDescent="0.25">
      <c r="A535" s="4">
        <f t="shared" si="8"/>
        <v>534</v>
      </c>
      <c r="B535" s="4" t="s">
        <v>326</v>
      </c>
      <c r="C535" s="5" t="s">
        <v>636</v>
      </c>
      <c r="D535" s="4">
        <v>18</v>
      </c>
      <c r="E535" s="4">
        <v>4</v>
      </c>
    </row>
    <row r="536" spans="1:5" x14ac:dyDescent="0.25">
      <c r="A536" s="4">
        <f t="shared" si="8"/>
        <v>535</v>
      </c>
      <c r="B536" s="4" t="s">
        <v>324</v>
      </c>
      <c r="C536" s="5" t="s">
        <v>636</v>
      </c>
      <c r="D536" s="4">
        <v>18</v>
      </c>
      <c r="E536" s="4">
        <v>4</v>
      </c>
    </row>
    <row r="537" spans="1:5" x14ac:dyDescent="0.25">
      <c r="A537" s="4">
        <f t="shared" si="8"/>
        <v>536</v>
      </c>
      <c r="B537" s="4" t="s">
        <v>495</v>
      </c>
      <c r="C537" s="5" t="s">
        <v>636</v>
      </c>
      <c r="D537" s="4">
        <v>18</v>
      </c>
      <c r="E537" s="4">
        <v>4</v>
      </c>
    </row>
    <row r="538" spans="1:5" ht="126" x14ac:dyDescent="0.25">
      <c r="A538" s="4">
        <f t="shared" si="8"/>
        <v>537</v>
      </c>
      <c r="B538" s="4" t="s">
        <v>637</v>
      </c>
      <c r="C538" s="5" t="s">
        <v>638</v>
      </c>
      <c r="D538" s="4">
        <v>9</v>
      </c>
      <c r="E538" s="4">
        <v>1</v>
      </c>
    </row>
    <row r="539" spans="1:5" ht="157.5" x14ac:dyDescent="0.25">
      <c r="A539" s="4">
        <f t="shared" si="8"/>
        <v>538</v>
      </c>
      <c r="B539" s="4" t="s">
        <v>1303</v>
      </c>
      <c r="C539" s="5" t="s">
        <v>639</v>
      </c>
      <c r="D539" s="4">
        <v>9</v>
      </c>
      <c r="E539" s="4">
        <v>2</v>
      </c>
    </row>
    <row r="540" spans="1:5" ht="173.25" x14ac:dyDescent="0.25">
      <c r="A540" s="4">
        <f t="shared" si="8"/>
        <v>539</v>
      </c>
      <c r="B540" s="4" t="s">
        <v>640</v>
      </c>
      <c r="C540" s="5" t="s">
        <v>1072</v>
      </c>
      <c r="D540" s="4">
        <v>9</v>
      </c>
      <c r="E540" s="4">
        <v>1</v>
      </c>
    </row>
    <row r="541" spans="1:5" ht="409.5" x14ac:dyDescent="0.25">
      <c r="A541" s="4">
        <f t="shared" si="8"/>
        <v>540</v>
      </c>
      <c r="B541" s="4" t="s">
        <v>1304</v>
      </c>
      <c r="C541" s="5" t="s">
        <v>1073</v>
      </c>
      <c r="D541" s="4">
        <v>9</v>
      </c>
      <c r="E541" s="4">
        <v>1</v>
      </c>
    </row>
    <row r="542" spans="1:5" ht="220.5" x14ac:dyDescent="0.25">
      <c r="A542" s="4">
        <f t="shared" si="8"/>
        <v>541</v>
      </c>
      <c r="B542" s="4" t="s">
        <v>1305</v>
      </c>
      <c r="C542" s="5" t="s">
        <v>641</v>
      </c>
      <c r="D542" s="4">
        <v>9</v>
      </c>
      <c r="E542" s="4">
        <v>1</v>
      </c>
    </row>
    <row r="543" spans="1:5" ht="409.5" x14ac:dyDescent="0.25">
      <c r="A543" s="4">
        <f t="shared" si="8"/>
        <v>542</v>
      </c>
      <c r="B543" s="4" t="s">
        <v>1306</v>
      </c>
      <c r="C543" s="5" t="s">
        <v>1074</v>
      </c>
      <c r="D543" s="4">
        <v>9</v>
      </c>
      <c r="E543" s="4">
        <v>1</v>
      </c>
    </row>
    <row r="544" spans="1:5" ht="409.5" x14ac:dyDescent="0.25">
      <c r="A544" s="4">
        <f t="shared" si="8"/>
        <v>543</v>
      </c>
      <c r="B544" s="4" t="s">
        <v>1307</v>
      </c>
      <c r="C544" s="5" t="s">
        <v>1075</v>
      </c>
      <c r="D544" s="4">
        <v>9</v>
      </c>
      <c r="E544" s="4">
        <v>1</v>
      </c>
    </row>
    <row r="545" spans="1:5" ht="47.25" x14ac:dyDescent="0.25">
      <c r="A545" s="4">
        <f t="shared" si="8"/>
        <v>544</v>
      </c>
      <c r="B545" s="4" t="s">
        <v>368</v>
      </c>
      <c r="C545" s="5" t="s">
        <v>642</v>
      </c>
      <c r="D545" s="4">
        <v>9</v>
      </c>
      <c r="E545" s="4">
        <v>1</v>
      </c>
    </row>
    <row r="546" spans="1:5" x14ac:dyDescent="0.25">
      <c r="A546" s="4">
        <f t="shared" si="8"/>
        <v>545</v>
      </c>
      <c r="B546" s="4" t="s">
        <v>643</v>
      </c>
      <c r="C546" s="5" t="s">
        <v>644</v>
      </c>
      <c r="D546" s="4">
        <v>9</v>
      </c>
      <c r="E546" s="4">
        <v>2</v>
      </c>
    </row>
    <row r="547" spans="1:5" ht="47.25" x14ac:dyDescent="0.25">
      <c r="A547" s="4">
        <f t="shared" si="8"/>
        <v>546</v>
      </c>
      <c r="B547" s="4" t="s">
        <v>1308</v>
      </c>
      <c r="C547" s="5" t="s">
        <v>645</v>
      </c>
      <c r="D547" s="4">
        <v>9</v>
      </c>
      <c r="E547" s="4">
        <v>2</v>
      </c>
    </row>
    <row r="548" spans="1:5" ht="126" x14ac:dyDescent="0.25">
      <c r="A548" s="4">
        <f t="shared" si="8"/>
        <v>547</v>
      </c>
      <c r="B548" s="4" t="s">
        <v>1309</v>
      </c>
      <c r="C548" s="5" t="s">
        <v>1076</v>
      </c>
      <c r="D548" s="4">
        <v>9</v>
      </c>
      <c r="E548" s="4">
        <v>2</v>
      </c>
    </row>
    <row r="549" spans="1:5" ht="94.5" x14ac:dyDescent="0.25">
      <c r="A549" s="4">
        <f t="shared" si="8"/>
        <v>548</v>
      </c>
      <c r="B549" s="4" t="s">
        <v>1310</v>
      </c>
      <c r="C549" s="5" t="s">
        <v>646</v>
      </c>
      <c r="D549" s="4">
        <v>9</v>
      </c>
      <c r="E549" s="4">
        <v>2</v>
      </c>
    </row>
    <row r="550" spans="1:5" ht="220.5" x14ac:dyDescent="0.25">
      <c r="A550" s="4">
        <f t="shared" si="8"/>
        <v>549</v>
      </c>
      <c r="B550" s="4" t="s">
        <v>1311</v>
      </c>
      <c r="C550" s="5" t="s">
        <v>1077</v>
      </c>
      <c r="D550" s="4">
        <v>9</v>
      </c>
      <c r="E550" s="4">
        <v>2</v>
      </c>
    </row>
    <row r="551" spans="1:5" ht="141.75" x14ac:dyDescent="0.25">
      <c r="A551" s="4">
        <f t="shared" si="8"/>
        <v>550</v>
      </c>
      <c r="B551" s="4" t="s">
        <v>1312</v>
      </c>
      <c r="C551" s="5" t="s">
        <v>647</v>
      </c>
      <c r="D551" s="4">
        <v>9</v>
      </c>
      <c r="E551" s="4">
        <v>2</v>
      </c>
    </row>
    <row r="552" spans="1:5" ht="126" x14ac:dyDescent="0.25">
      <c r="A552" s="4">
        <f t="shared" si="8"/>
        <v>551</v>
      </c>
      <c r="B552" s="4" t="s">
        <v>1313</v>
      </c>
      <c r="C552" s="5" t="s">
        <v>1078</v>
      </c>
      <c r="D552" s="4">
        <v>9</v>
      </c>
      <c r="E552" s="4">
        <v>2</v>
      </c>
    </row>
    <row r="553" spans="1:5" ht="94.5" x14ac:dyDescent="0.25">
      <c r="A553" s="4">
        <f t="shared" si="8"/>
        <v>552</v>
      </c>
      <c r="B553" s="4" t="s">
        <v>1314</v>
      </c>
      <c r="C553" s="5" t="s">
        <v>648</v>
      </c>
      <c r="D553" s="4">
        <v>9</v>
      </c>
      <c r="E553" s="4">
        <v>2</v>
      </c>
    </row>
    <row r="554" spans="1:5" ht="63" x14ac:dyDescent="0.25">
      <c r="A554" s="4">
        <f t="shared" si="8"/>
        <v>553</v>
      </c>
      <c r="B554" s="4" t="s">
        <v>649</v>
      </c>
      <c r="C554" s="5" t="s">
        <v>650</v>
      </c>
      <c r="D554" s="4">
        <v>9</v>
      </c>
      <c r="E554" s="4">
        <v>1</v>
      </c>
    </row>
    <row r="555" spans="1:5" ht="409.5" x14ac:dyDescent="0.25">
      <c r="A555" s="4">
        <f t="shared" si="8"/>
        <v>554</v>
      </c>
      <c r="B555" s="4" t="s">
        <v>278</v>
      </c>
      <c r="C555" s="5" t="s">
        <v>1079</v>
      </c>
      <c r="D555" s="4">
        <v>9</v>
      </c>
      <c r="E555" s="4">
        <v>1</v>
      </c>
    </row>
    <row r="556" spans="1:5" ht="330.75" x14ac:dyDescent="0.25">
      <c r="A556" s="4">
        <f t="shared" si="8"/>
        <v>555</v>
      </c>
      <c r="B556" s="4" t="s">
        <v>1121</v>
      </c>
      <c r="C556" s="5" t="s">
        <v>1080</v>
      </c>
      <c r="D556" s="4">
        <v>9</v>
      </c>
      <c r="E556" s="4">
        <v>1</v>
      </c>
    </row>
    <row r="557" spans="1:5" ht="346.5" x14ac:dyDescent="0.25">
      <c r="A557" s="4">
        <f t="shared" si="8"/>
        <v>556</v>
      </c>
      <c r="B557" s="4" t="s">
        <v>651</v>
      </c>
      <c r="C557" s="5" t="s">
        <v>1081</v>
      </c>
      <c r="D557" s="4">
        <v>9</v>
      </c>
      <c r="E557" s="4">
        <v>1</v>
      </c>
    </row>
    <row r="558" spans="1:5" ht="47.25" x14ac:dyDescent="0.25">
      <c r="A558" s="4">
        <f t="shared" si="8"/>
        <v>557</v>
      </c>
      <c r="B558" s="4" t="s">
        <v>1315</v>
      </c>
      <c r="C558" s="5" t="s">
        <v>652</v>
      </c>
      <c r="D558" s="4">
        <v>9</v>
      </c>
      <c r="E558" s="4">
        <v>2</v>
      </c>
    </row>
    <row r="559" spans="1:5" ht="204.75" x14ac:dyDescent="0.25">
      <c r="A559" s="4">
        <f t="shared" si="8"/>
        <v>558</v>
      </c>
      <c r="B559" s="4" t="s">
        <v>653</v>
      </c>
      <c r="C559" s="5" t="s">
        <v>1082</v>
      </c>
      <c r="D559" s="4">
        <v>9</v>
      </c>
      <c r="E559" s="4">
        <v>1</v>
      </c>
    </row>
    <row r="560" spans="1:5" ht="63" x14ac:dyDescent="0.25">
      <c r="A560" s="4">
        <f t="shared" si="8"/>
        <v>559</v>
      </c>
      <c r="B560" s="4" t="s">
        <v>654</v>
      </c>
      <c r="C560" s="5" t="s">
        <v>655</v>
      </c>
      <c r="D560" s="4">
        <v>9</v>
      </c>
      <c r="E560" s="4">
        <v>2</v>
      </c>
    </row>
    <row r="561" spans="1:5" ht="126" x14ac:dyDescent="0.25">
      <c r="A561" s="4">
        <f t="shared" si="8"/>
        <v>560</v>
      </c>
      <c r="B561" s="4" t="s">
        <v>1316</v>
      </c>
      <c r="C561" s="5" t="s">
        <v>656</v>
      </c>
      <c r="D561" s="4">
        <v>9</v>
      </c>
      <c r="E561" s="4">
        <v>2</v>
      </c>
    </row>
    <row r="562" spans="1:5" x14ac:dyDescent="0.25">
      <c r="A562" s="4">
        <f t="shared" si="8"/>
        <v>561</v>
      </c>
      <c r="B562" s="4" t="s">
        <v>657</v>
      </c>
      <c r="C562" s="5" t="s">
        <v>374</v>
      </c>
      <c r="D562" s="4">
        <v>9</v>
      </c>
      <c r="E562" s="4">
        <v>1</v>
      </c>
    </row>
    <row r="563" spans="1:5" x14ac:dyDescent="0.25">
      <c r="A563" s="4">
        <f t="shared" si="8"/>
        <v>562</v>
      </c>
      <c r="B563" s="4" t="s">
        <v>1122</v>
      </c>
      <c r="C563" s="5" t="s">
        <v>1298</v>
      </c>
      <c r="D563" s="4">
        <v>9</v>
      </c>
      <c r="E563" s="4">
        <v>3</v>
      </c>
    </row>
    <row r="564" spans="1:5" ht="63" x14ac:dyDescent="0.25">
      <c r="A564" s="4">
        <f t="shared" si="8"/>
        <v>563</v>
      </c>
      <c r="B564" s="4" t="s">
        <v>1317</v>
      </c>
      <c r="C564" s="5" t="s">
        <v>658</v>
      </c>
      <c r="D564" s="4">
        <v>9</v>
      </c>
      <c r="E564" s="4">
        <v>2</v>
      </c>
    </row>
    <row r="565" spans="1:5" x14ac:dyDescent="0.25">
      <c r="A565" s="4">
        <f t="shared" si="8"/>
        <v>564</v>
      </c>
      <c r="B565" s="4" t="s">
        <v>295</v>
      </c>
      <c r="C565" s="5" t="s">
        <v>659</v>
      </c>
      <c r="D565" s="4">
        <v>9</v>
      </c>
      <c r="E565" s="4">
        <v>2</v>
      </c>
    </row>
    <row r="566" spans="1:5" ht="78.75" x14ac:dyDescent="0.25">
      <c r="A566" s="4">
        <f t="shared" si="8"/>
        <v>565</v>
      </c>
      <c r="B566" s="4" t="s">
        <v>1318</v>
      </c>
      <c r="C566" s="5" t="s">
        <v>660</v>
      </c>
      <c r="D566" s="4">
        <v>9</v>
      </c>
      <c r="E566" s="4">
        <v>2</v>
      </c>
    </row>
    <row r="567" spans="1:5" ht="47.25" x14ac:dyDescent="0.25">
      <c r="A567" s="4">
        <f t="shared" si="8"/>
        <v>566</v>
      </c>
      <c r="B567" s="4" t="s">
        <v>1319</v>
      </c>
      <c r="C567" s="5" t="s">
        <v>661</v>
      </c>
      <c r="D567" s="4">
        <v>9</v>
      </c>
      <c r="E567" s="4">
        <v>2</v>
      </c>
    </row>
    <row r="568" spans="1:5" ht="47.25" x14ac:dyDescent="0.25">
      <c r="A568" s="4">
        <f t="shared" si="8"/>
        <v>567</v>
      </c>
      <c r="B568" s="4" t="s">
        <v>1320</v>
      </c>
      <c r="C568" s="5" t="s">
        <v>662</v>
      </c>
      <c r="D568" s="4">
        <v>9</v>
      </c>
      <c r="E568" s="4">
        <v>2</v>
      </c>
    </row>
    <row r="569" spans="1:5" ht="47.25" x14ac:dyDescent="0.25">
      <c r="A569" s="4">
        <f t="shared" si="8"/>
        <v>568</v>
      </c>
      <c r="B569" s="4" t="s">
        <v>1321</v>
      </c>
      <c r="C569" s="5" t="s">
        <v>1083</v>
      </c>
      <c r="D569" s="4">
        <v>9</v>
      </c>
      <c r="E569" s="4">
        <v>2</v>
      </c>
    </row>
    <row r="570" spans="1:5" ht="173.25" x14ac:dyDescent="0.25">
      <c r="A570" s="4">
        <f t="shared" si="8"/>
        <v>569</v>
      </c>
      <c r="B570" s="4" t="s">
        <v>663</v>
      </c>
      <c r="C570" s="5" t="s">
        <v>664</v>
      </c>
      <c r="D570" s="4">
        <v>9</v>
      </c>
      <c r="E570" s="4">
        <v>2</v>
      </c>
    </row>
    <row r="571" spans="1:5" ht="110.25" x14ac:dyDescent="0.25">
      <c r="A571" s="4">
        <f t="shared" si="8"/>
        <v>570</v>
      </c>
      <c r="B571" s="4" t="s">
        <v>1322</v>
      </c>
      <c r="C571" s="5" t="s">
        <v>665</v>
      </c>
      <c r="D571" s="4">
        <v>9</v>
      </c>
      <c r="E571" s="4">
        <v>2</v>
      </c>
    </row>
    <row r="572" spans="1:5" x14ac:dyDescent="0.25">
      <c r="A572" s="4">
        <f t="shared" si="8"/>
        <v>571</v>
      </c>
      <c r="B572" s="4" t="s">
        <v>666</v>
      </c>
      <c r="C572" s="5" t="s">
        <v>667</v>
      </c>
      <c r="D572" s="4">
        <v>9</v>
      </c>
      <c r="E572" s="4">
        <v>4</v>
      </c>
    </row>
    <row r="573" spans="1:5" x14ac:dyDescent="0.25">
      <c r="A573" s="4">
        <f t="shared" si="8"/>
        <v>572</v>
      </c>
      <c r="B573" s="4" t="s">
        <v>668</v>
      </c>
      <c r="C573" s="5" t="s">
        <v>669</v>
      </c>
      <c r="D573" s="4">
        <v>9</v>
      </c>
      <c r="E573" s="4">
        <v>4</v>
      </c>
    </row>
    <row r="574" spans="1:5" ht="173.25" x14ac:dyDescent="0.25">
      <c r="A574" s="4">
        <f t="shared" si="8"/>
        <v>573</v>
      </c>
      <c r="B574" s="4" t="s">
        <v>1323</v>
      </c>
      <c r="C574" s="5" t="s">
        <v>670</v>
      </c>
      <c r="D574" s="4">
        <v>9</v>
      </c>
      <c r="E574" s="4">
        <v>2</v>
      </c>
    </row>
    <row r="575" spans="1:5" ht="63" x14ac:dyDescent="0.25">
      <c r="A575" s="4">
        <f t="shared" si="8"/>
        <v>574</v>
      </c>
      <c r="B575" s="4" t="s">
        <v>1324</v>
      </c>
      <c r="C575" s="5" t="s">
        <v>1084</v>
      </c>
      <c r="D575" s="4">
        <v>9</v>
      </c>
      <c r="E575" s="4">
        <v>2</v>
      </c>
    </row>
    <row r="576" spans="1:5" ht="78.75" x14ac:dyDescent="0.25">
      <c r="A576" s="4">
        <f t="shared" si="8"/>
        <v>575</v>
      </c>
      <c r="B576" s="4" t="s">
        <v>1325</v>
      </c>
      <c r="C576" s="5" t="s">
        <v>1085</v>
      </c>
      <c r="D576" s="4">
        <v>9</v>
      </c>
      <c r="E576" s="4">
        <v>2</v>
      </c>
    </row>
    <row r="577" spans="1:5" ht="110.25" x14ac:dyDescent="0.25">
      <c r="A577" s="4">
        <f t="shared" si="8"/>
        <v>576</v>
      </c>
      <c r="B577" s="4" t="s">
        <v>671</v>
      </c>
      <c r="C577" s="5" t="s">
        <v>1086</v>
      </c>
      <c r="D577" s="4">
        <v>9</v>
      </c>
      <c r="E577" s="4">
        <v>1</v>
      </c>
    </row>
    <row r="578" spans="1:5" ht="31.5" x14ac:dyDescent="0.25">
      <c r="A578" s="4">
        <f t="shared" si="8"/>
        <v>577</v>
      </c>
      <c r="B578" s="4" t="s">
        <v>354</v>
      </c>
      <c r="C578" s="5" t="s">
        <v>672</v>
      </c>
      <c r="D578" s="4">
        <v>9</v>
      </c>
      <c r="E578" s="4">
        <v>4</v>
      </c>
    </row>
    <row r="579" spans="1:5" ht="31.5" x14ac:dyDescent="0.25">
      <c r="A579" s="4">
        <f t="shared" si="8"/>
        <v>578</v>
      </c>
      <c r="B579" s="4" t="s">
        <v>356</v>
      </c>
      <c r="C579" s="5" t="s">
        <v>673</v>
      </c>
      <c r="D579" s="4">
        <v>9</v>
      </c>
      <c r="E579" s="4">
        <v>4</v>
      </c>
    </row>
    <row r="580" spans="1:5" ht="252" x14ac:dyDescent="0.25">
      <c r="A580" s="4">
        <f t="shared" si="8"/>
        <v>579</v>
      </c>
      <c r="B580" s="4" t="s">
        <v>1326</v>
      </c>
      <c r="C580" s="5" t="s">
        <v>674</v>
      </c>
      <c r="D580" s="4">
        <v>9</v>
      </c>
      <c r="E580" s="4">
        <v>2</v>
      </c>
    </row>
    <row r="581" spans="1:5" ht="47.25" x14ac:dyDescent="0.25">
      <c r="A581" s="4">
        <f t="shared" si="8"/>
        <v>580</v>
      </c>
      <c r="B581" s="4" t="s">
        <v>629</v>
      </c>
      <c r="C581" s="5" t="s">
        <v>675</v>
      </c>
      <c r="D581" s="4">
        <v>9</v>
      </c>
      <c r="E581" s="4">
        <v>3</v>
      </c>
    </row>
    <row r="582" spans="1:5" ht="126" x14ac:dyDescent="0.25">
      <c r="A582" s="4">
        <f t="shared" si="8"/>
        <v>581</v>
      </c>
      <c r="B582" s="4" t="s">
        <v>359</v>
      </c>
      <c r="C582" s="5" t="s">
        <v>676</v>
      </c>
      <c r="D582" s="4">
        <v>9</v>
      </c>
      <c r="E582" s="4">
        <v>3</v>
      </c>
    </row>
    <row r="583" spans="1:5" ht="110.25" x14ac:dyDescent="0.25">
      <c r="A583" s="4">
        <f t="shared" si="8"/>
        <v>582</v>
      </c>
      <c r="B583" s="4" t="s">
        <v>1299</v>
      </c>
      <c r="C583" s="5" t="s">
        <v>677</v>
      </c>
      <c r="D583" s="4">
        <v>9</v>
      </c>
      <c r="E583" s="4">
        <v>2</v>
      </c>
    </row>
    <row r="584" spans="1:5" ht="47.25" x14ac:dyDescent="0.25">
      <c r="A584" s="4">
        <f t="shared" si="8"/>
        <v>583</v>
      </c>
      <c r="B584" s="4" t="s">
        <v>1300</v>
      </c>
      <c r="C584" s="5" t="s">
        <v>1087</v>
      </c>
      <c r="D584" s="4">
        <v>9</v>
      </c>
      <c r="E584" s="4">
        <v>2</v>
      </c>
    </row>
    <row r="585" spans="1:5" ht="126" x14ac:dyDescent="0.25">
      <c r="A585" s="4">
        <f t="shared" si="8"/>
        <v>584</v>
      </c>
      <c r="B585" s="4" t="s">
        <v>1301</v>
      </c>
      <c r="C585" s="5" t="s">
        <v>678</v>
      </c>
      <c r="D585" s="4">
        <v>9</v>
      </c>
      <c r="E585" s="4">
        <v>2</v>
      </c>
    </row>
    <row r="586" spans="1:5" ht="78.75" x14ac:dyDescent="0.25">
      <c r="A586" s="4">
        <f t="shared" ref="A586:A649" si="9">ROW()-1</f>
        <v>585</v>
      </c>
      <c r="B586" s="4" t="s">
        <v>1302</v>
      </c>
      <c r="C586" s="5" t="s">
        <v>1088</v>
      </c>
      <c r="D586" s="4">
        <v>9</v>
      </c>
      <c r="E586" s="4">
        <v>2</v>
      </c>
    </row>
    <row r="587" spans="1:5" ht="299.25" x14ac:dyDescent="0.25">
      <c r="A587" s="4">
        <f t="shared" si="9"/>
        <v>586</v>
      </c>
      <c r="B587" s="4" t="s">
        <v>1123</v>
      </c>
      <c r="C587" s="5" t="s">
        <v>679</v>
      </c>
      <c r="D587" s="4">
        <v>9</v>
      </c>
      <c r="E587" s="4">
        <v>3</v>
      </c>
    </row>
    <row r="588" spans="1:5" ht="173.25" x14ac:dyDescent="0.25">
      <c r="A588" s="4">
        <f t="shared" si="9"/>
        <v>587</v>
      </c>
      <c r="B588" s="4" t="s">
        <v>1327</v>
      </c>
      <c r="C588" s="5" t="s">
        <v>680</v>
      </c>
      <c r="D588" s="4">
        <v>10</v>
      </c>
      <c r="E588" s="4">
        <v>2</v>
      </c>
    </row>
    <row r="589" spans="1:5" ht="63" x14ac:dyDescent="0.25">
      <c r="A589" s="4">
        <f t="shared" si="9"/>
        <v>588</v>
      </c>
      <c r="B589" s="4" t="s">
        <v>681</v>
      </c>
      <c r="C589" s="5" t="s">
        <v>682</v>
      </c>
      <c r="D589" s="4">
        <v>10</v>
      </c>
      <c r="E589" s="4">
        <v>1</v>
      </c>
    </row>
    <row r="590" spans="1:5" ht="31.5" x14ac:dyDescent="0.25">
      <c r="A590" s="4">
        <f t="shared" si="9"/>
        <v>589</v>
      </c>
      <c r="B590" s="4" t="s">
        <v>1328</v>
      </c>
      <c r="C590" s="5" t="s">
        <v>683</v>
      </c>
      <c r="D590" s="4">
        <v>10</v>
      </c>
      <c r="E590" s="4">
        <v>2</v>
      </c>
    </row>
    <row r="591" spans="1:5" ht="409.5" x14ac:dyDescent="0.25">
      <c r="A591" s="4">
        <f t="shared" si="9"/>
        <v>590</v>
      </c>
      <c r="B591" s="4" t="s">
        <v>1329</v>
      </c>
      <c r="C591" s="5" t="s">
        <v>1089</v>
      </c>
      <c r="D591" s="4">
        <v>10</v>
      </c>
      <c r="E591" s="4">
        <v>2</v>
      </c>
    </row>
    <row r="592" spans="1:5" ht="362.25" x14ac:dyDescent="0.25">
      <c r="A592" s="4">
        <f t="shared" si="9"/>
        <v>591</v>
      </c>
      <c r="B592" s="4" t="s">
        <v>1330</v>
      </c>
      <c r="C592" s="5" t="s">
        <v>1090</v>
      </c>
      <c r="D592" s="4">
        <v>10</v>
      </c>
      <c r="E592" s="4">
        <v>2</v>
      </c>
    </row>
    <row r="593" spans="1:5" ht="94.5" x14ac:dyDescent="0.25">
      <c r="A593" s="4">
        <f t="shared" si="9"/>
        <v>592</v>
      </c>
      <c r="B593" s="4" t="s">
        <v>1331</v>
      </c>
      <c r="C593" s="5" t="s">
        <v>684</v>
      </c>
      <c r="D593" s="4">
        <v>10</v>
      </c>
      <c r="E593" s="4">
        <v>2</v>
      </c>
    </row>
    <row r="594" spans="1:5" ht="126" x14ac:dyDescent="0.25">
      <c r="A594" s="4">
        <f t="shared" si="9"/>
        <v>593</v>
      </c>
      <c r="B594" s="4" t="s">
        <v>1332</v>
      </c>
      <c r="C594" s="5" t="s">
        <v>685</v>
      </c>
      <c r="D594" s="4">
        <v>10</v>
      </c>
      <c r="E594" s="4">
        <v>2</v>
      </c>
    </row>
    <row r="595" spans="1:5" ht="126" x14ac:dyDescent="0.25">
      <c r="A595" s="4">
        <f t="shared" si="9"/>
        <v>594</v>
      </c>
      <c r="B595" s="4" t="s">
        <v>1333</v>
      </c>
      <c r="C595" s="5" t="s">
        <v>686</v>
      </c>
      <c r="D595" s="4">
        <v>10</v>
      </c>
      <c r="E595" s="4">
        <v>2</v>
      </c>
    </row>
    <row r="596" spans="1:5" ht="126" x14ac:dyDescent="0.25">
      <c r="A596" s="4">
        <f t="shared" si="9"/>
        <v>595</v>
      </c>
      <c r="B596" s="4" t="s">
        <v>1334</v>
      </c>
      <c r="C596" s="5" t="s">
        <v>687</v>
      </c>
      <c r="D596" s="4">
        <v>10</v>
      </c>
      <c r="E596" s="4">
        <v>2</v>
      </c>
    </row>
    <row r="597" spans="1:5" ht="94.5" x14ac:dyDescent="0.25">
      <c r="A597" s="4">
        <f t="shared" si="9"/>
        <v>596</v>
      </c>
      <c r="B597" s="4" t="s">
        <v>1335</v>
      </c>
      <c r="C597" s="5" t="s">
        <v>688</v>
      </c>
      <c r="D597" s="4">
        <v>10</v>
      </c>
      <c r="E597" s="4">
        <v>2</v>
      </c>
    </row>
    <row r="598" spans="1:5" x14ac:dyDescent="0.25">
      <c r="A598" s="4">
        <f t="shared" si="9"/>
        <v>597</v>
      </c>
      <c r="B598" s="4" t="s">
        <v>689</v>
      </c>
      <c r="C598" s="5" t="s">
        <v>690</v>
      </c>
      <c r="D598" s="4">
        <v>10</v>
      </c>
      <c r="E598" s="4">
        <v>4</v>
      </c>
    </row>
    <row r="599" spans="1:5" ht="110.25" x14ac:dyDescent="0.25">
      <c r="A599" s="4">
        <f t="shared" si="9"/>
        <v>598</v>
      </c>
      <c r="B599" s="4" t="s">
        <v>1336</v>
      </c>
      <c r="C599" s="5" t="s">
        <v>691</v>
      </c>
      <c r="D599" s="4">
        <v>10</v>
      </c>
      <c r="E599" s="4">
        <v>2</v>
      </c>
    </row>
    <row r="600" spans="1:5" ht="173.25" x14ac:dyDescent="0.25">
      <c r="A600" s="4">
        <f t="shared" si="9"/>
        <v>599</v>
      </c>
      <c r="B600" s="4" t="s">
        <v>1337</v>
      </c>
      <c r="C600" s="5" t="s">
        <v>692</v>
      </c>
      <c r="D600" s="4">
        <v>11</v>
      </c>
      <c r="E600" s="4">
        <v>2</v>
      </c>
    </row>
    <row r="601" spans="1:5" ht="63" x14ac:dyDescent="0.25">
      <c r="A601" s="4">
        <f t="shared" si="9"/>
        <v>600</v>
      </c>
      <c r="B601" s="4" t="s">
        <v>693</v>
      </c>
      <c r="C601" s="5" t="s">
        <v>694</v>
      </c>
      <c r="D601" s="4">
        <v>11</v>
      </c>
      <c r="E601" s="4">
        <v>2</v>
      </c>
    </row>
    <row r="602" spans="1:5" ht="63" x14ac:dyDescent="0.25">
      <c r="A602" s="4">
        <f t="shared" si="9"/>
        <v>601</v>
      </c>
      <c r="B602" s="4" t="s">
        <v>1338</v>
      </c>
      <c r="C602" s="5" t="s">
        <v>695</v>
      </c>
      <c r="D602" s="4">
        <v>11</v>
      </c>
      <c r="E602" s="4">
        <v>2</v>
      </c>
    </row>
    <row r="603" spans="1:5" ht="409.5" x14ac:dyDescent="0.25">
      <c r="A603" s="4">
        <f t="shared" si="9"/>
        <v>602</v>
      </c>
      <c r="B603" s="4" t="s">
        <v>1339</v>
      </c>
      <c r="C603" s="5" t="s">
        <v>1091</v>
      </c>
      <c r="D603" s="4">
        <v>11</v>
      </c>
      <c r="E603" s="4">
        <v>2</v>
      </c>
    </row>
    <row r="604" spans="1:5" ht="157.5" x14ac:dyDescent="0.25">
      <c r="A604" s="4">
        <f t="shared" si="9"/>
        <v>603</v>
      </c>
      <c r="B604" s="4" t="s">
        <v>1340</v>
      </c>
      <c r="C604" s="5" t="s">
        <v>696</v>
      </c>
      <c r="D604" s="4">
        <v>11</v>
      </c>
      <c r="E604" s="4">
        <v>2</v>
      </c>
    </row>
    <row r="605" spans="1:5" ht="299.25" x14ac:dyDescent="0.25">
      <c r="A605" s="4">
        <f t="shared" si="9"/>
        <v>604</v>
      </c>
      <c r="B605" s="4" t="s">
        <v>1341</v>
      </c>
      <c r="C605" s="5" t="s">
        <v>1092</v>
      </c>
      <c r="D605" s="4">
        <v>11</v>
      </c>
      <c r="E605" s="4">
        <v>2</v>
      </c>
    </row>
    <row r="606" spans="1:5" ht="126" x14ac:dyDescent="0.25">
      <c r="A606" s="4">
        <f t="shared" si="9"/>
        <v>605</v>
      </c>
      <c r="B606" s="4" t="s">
        <v>1342</v>
      </c>
      <c r="C606" s="5" t="s">
        <v>697</v>
      </c>
      <c r="D606" s="4">
        <v>11</v>
      </c>
      <c r="E606" s="4">
        <v>2</v>
      </c>
    </row>
    <row r="607" spans="1:5" ht="94.5" x14ac:dyDescent="0.25">
      <c r="A607" s="4">
        <f t="shared" si="9"/>
        <v>606</v>
      </c>
      <c r="B607" s="4" t="s">
        <v>1343</v>
      </c>
      <c r="C607" s="5" t="s">
        <v>698</v>
      </c>
      <c r="D607" s="4">
        <v>11</v>
      </c>
      <c r="E607" s="4">
        <v>2</v>
      </c>
    </row>
    <row r="608" spans="1:5" ht="94.5" x14ac:dyDescent="0.25">
      <c r="A608" s="4">
        <f t="shared" si="9"/>
        <v>607</v>
      </c>
      <c r="B608" s="4" t="s">
        <v>1344</v>
      </c>
      <c r="C608" s="5" t="s">
        <v>699</v>
      </c>
      <c r="D608" s="4">
        <v>11</v>
      </c>
      <c r="E608" s="4">
        <v>2</v>
      </c>
    </row>
    <row r="609" spans="1:5" ht="189" x14ac:dyDescent="0.25">
      <c r="A609" s="4">
        <f t="shared" si="9"/>
        <v>608</v>
      </c>
      <c r="B609" s="4" t="s">
        <v>1345</v>
      </c>
      <c r="C609" s="5" t="s">
        <v>700</v>
      </c>
      <c r="D609" s="4">
        <v>11</v>
      </c>
      <c r="E609" s="4">
        <v>2</v>
      </c>
    </row>
    <row r="610" spans="1:5" ht="110.25" x14ac:dyDescent="0.25">
      <c r="A610" s="4">
        <f t="shared" si="9"/>
        <v>609</v>
      </c>
      <c r="B610" s="4" t="s">
        <v>701</v>
      </c>
      <c r="C610" s="5" t="s">
        <v>702</v>
      </c>
      <c r="D610" s="4">
        <v>11</v>
      </c>
      <c r="E610" s="4">
        <v>2</v>
      </c>
    </row>
    <row r="611" spans="1:5" ht="141.75" x14ac:dyDescent="0.25">
      <c r="A611" s="4">
        <f t="shared" si="9"/>
        <v>610</v>
      </c>
      <c r="B611" s="4" t="s">
        <v>703</v>
      </c>
      <c r="C611" s="5" t="s">
        <v>704</v>
      </c>
      <c r="D611" s="4">
        <v>11</v>
      </c>
      <c r="E611" s="4">
        <v>4</v>
      </c>
    </row>
    <row r="612" spans="1:5" ht="204.75" x14ac:dyDescent="0.25">
      <c r="A612" s="4">
        <f t="shared" si="9"/>
        <v>611</v>
      </c>
      <c r="B612" s="4" t="s">
        <v>705</v>
      </c>
      <c r="C612" s="5" t="s">
        <v>706</v>
      </c>
      <c r="D612" s="4">
        <v>11</v>
      </c>
      <c r="E612" s="4">
        <v>2</v>
      </c>
    </row>
    <row r="613" spans="1:5" ht="220.5" x14ac:dyDescent="0.25">
      <c r="A613" s="4">
        <f t="shared" si="9"/>
        <v>612</v>
      </c>
      <c r="B613" s="4" t="s">
        <v>1346</v>
      </c>
      <c r="C613" s="5" t="s">
        <v>707</v>
      </c>
      <c r="D613" s="4">
        <v>12</v>
      </c>
      <c r="E613" s="4">
        <v>2</v>
      </c>
    </row>
    <row r="614" spans="1:5" ht="157.5" x14ac:dyDescent="0.25">
      <c r="A614" s="4">
        <f t="shared" si="9"/>
        <v>613</v>
      </c>
      <c r="B614" s="4" t="s">
        <v>1347</v>
      </c>
      <c r="C614" s="5" t="s">
        <v>709</v>
      </c>
      <c r="D614" s="4">
        <v>12</v>
      </c>
      <c r="E614" s="4">
        <v>2</v>
      </c>
    </row>
    <row r="615" spans="1:5" ht="409.5" x14ac:dyDescent="0.25">
      <c r="A615" s="4">
        <f t="shared" si="9"/>
        <v>614</v>
      </c>
      <c r="B615" s="4" t="s">
        <v>1348</v>
      </c>
      <c r="C615" s="5" t="s">
        <v>1093</v>
      </c>
      <c r="D615" s="4">
        <v>12</v>
      </c>
      <c r="E615" s="4">
        <v>2</v>
      </c>
    </row>
    <row r="616" spans="1:5" ht="409.5" x14ac:dyDescent="0.25">
      <c r="A616" s="4">
        <f t="shared" si="9"/>
        <v>615</v>
      </c>
      <c r="B616" s="4" t="s">
        <v>1349</v>
      </c>
      <c r="C616" s="5" t="s">
        <v>1094</v>
      </c>
      <c r="D616" s="4">
        <v>12</v>
      </c>
      <c r="E616" s="4">
        <v>2</v>
      </c>
    </row>
    <row r="617" spans="1:5" ht="283.5" x14ac:dyDescent="0.25">
      <c r="A617" s="4">
        <f t="shared" si="9"/>
        <v>616</v>
      </c>
      <c r="B617" s="4" t="s">
        <v>1350</v>
      </c>
      <c r="C617" s="5" t="s">
        <v>710</v>
      </c>
      <c r="D617" s="4">
        <v>12</v>
      </c>
      <c r="E617" s="4">
        <v>2</v>
      </c>
    </row>
    <row r="618" spans="1:5" ht="157.5" x14ac:dyDescent="0.25">
      <c r="A618" s="4">
        <f t="shared" si="9"/>
        <v>617</v>
      </c>
      <c r="B618" s="4" t="s">
        <v>1351</v>
      </c>
      <c r="C618" s="5" t="s">
        <v>711</v>
      </c>
      <c r="D618" s="4">
        <v>12</v>
      </c>
      <c r="E618" s="4">
        <v>2</v>
      </c>
    </row>
    <row r="619" spans="1:5" ht="94.5" x14ac:dyDescent="0.25">
      <c r="A619" s="4">
        <f t="shared" si="9"/>
        <v>618</v>
      </c>
      <c r="B619" s="4" t="s">
        <v>1352</v>
      </c>
      <c r="C619" s="5" t="s">
        <v>712</v>
      </c>
      <c r="D619" s="4">
        <v>12</v>
      </c>
      <c r="E619" s="4">
        <v>2</v>
      </c>
    </row>
    <row r="620" spans="1:5" ht="126" x14ac:dyDescent="0.25">
      <c r="A620" s="4">
        <f t="shared" si="9"/>
        <v>619</v>
      </c>
      <c r="B620" s="4" t="s">
        <v>1353</v>
      </c>
      <c r="C620" s="5" t="s">
        <v>713</v>
      </c>
      <c r="D620" s="4">
        <v>12</v>
      </c>
      <c r="E620" s="4">
        <v>2</v>
      </c>
    </row>
    <row r="621" spans="1:5" ht="94.5" x14ac:dyDescent="0.25">
      <c r="A621" s="4">
        <f t="shared" si="9"/>
        <v>620</v>
      </c>
      <c r="B621" s="4" t="s">
        <v>1344</v>
      </c>
      <c r="C621" s="5" t="s">
        <v>714</v>
      </c>
      <c r="D621" s="4">
        <v>12</v>
      </c>
      <c r="E621" s="4">
        <v>2</v>
      </c>
    </row>
    <row r="622" spans="1:5" ht="94.5" x14ac:dyDescent="0.25">
      <c r="A622" s="4">
        <f t="shared" si="9"/>
        <v>621</v>
      </c>
      <c r="B622" s="4" t="s">
        <v>1354</v>
      </c>
      <c r="C622" s="5" t="s">
        <v>715</v>
      </c>
      <c r="D622" s="4">
        <v>12</v>
      </c>
      <c r="E622" s="4">
        <v>2</v>
      </c>
    </row>
    <row r="623" spans="1:5" ht="173.25" x14ac:dyDescent="0.25">
      <c r="A623" s="4">
        <f t="shared" si="9"/>
        <v>622</v>
      </c>
      <c r="B623" s="4" t="s">
        <v>1355</v>
      </c>
      <c r="C623" s="5" t="s">
        <v>716</v>
      </c>
      <c r="D623" s="4">
        <v>12</v>
      </c>
      <c r="E623" s="4">
        <v>2</v>
      </c>
    </row>
    <row r="624" spans="1:5" ht="189" x14ac:dyDescent="0.25">
      <c r="A624" s="4">
        <f t="shared" si="9"/>
        <v>623</v>
      </c>
      <c r="B624" s="4" t="s">
        <v>717</v>
      </c>
      <c r="C624" s="5" t="s">
        <v>718</v>
      </c>
      <c r="D624" s="4">
        <v>12</v>
      </c>
      <c r="E624" s="4">
        <v>2</v>
      </c>
    </row>
    <row r="625" spans="1:5" ht="78.75" x14ac:dyDescent="0.25">
      <c r="A625" s="4">
        <f t="shared" si="9"/>
        <v>624</v>
      </c>
      <c r="B625" s="4" t="s">
        <v>719</v>
      </c>
      <c r="C625" s="5" t="s">
        <v>720</v>
      </c>
      <c r="D625" s="4">
        <v>12</v>
      </c>
      <c r="E625" s="4">
        <v>2</v>
      </c>
    </row>
    <row r="626" spans="1:5" ht="315" x14ac:dyDescent="0.25">
      <c r="A626" s="4">
        <f t="shared" si="9"/>
        <v>625</v>
      </c>
      <c r="B626" s="4" t="s">
        <v>539</v>
      </c>
      <c r="C626" s="5" t="s">
        <v>1095</v>
      </c>
      <c r="D626" s="4">
        <v>9</v>
      </c>
      <c r="E626" s="4">
        <v>1</v>
      </c>
    </row>
    <row r="627" spans="1:5" ht="409.5" x14ac:dyDescent="0.25">
      <c r="A627" s="4">
        <f t="shared" si="9"/>
        <v>626</v>
      </c>
      <c r="B627" s="4" t="s">
        <v>545</v>
      </c>
      <c r="C627" s="5" t="s">
        <v>721</v>
      </c>
      <c r="D627" s="4">
        <v>9</v>
      </c>
      <c r="E627" s="4">
        <v>2</v>
      </c>
    </row>
    <row r="628" spans="1:5" ht="141.75" x14ac:dyDescent="0.25">
      <c r="A628" s="4">
        <f t="shared" si="9"/>
        <v>627</v>
      </c>
      <c r="B628" s="4" t="s">
        <v>585</v>
      </c>
      <c r="C628" s="5" t="s">
        <v>722</v>
      </c>
      <c r="D628" s="4">
        <v>9</v>
      </c>
      <c r="E628" s="4">
        <v>2</v>
      </c>
    </row>
    <row r="629" spans="1:5" ht="141.75" x14ac:dyDescent="0.25">
      <c r="A629" s="4">
        <f t="shared" si="9"/>
        <v>628</v>
      </c>
      <c r="B629" s="4" t="s">
        <v>723</v>
      </c>
      <c r="C629" s="5" t="s">
        <v>724</v>
      </c>
      <c r="D629" s="4">
        <v>9</v>
      </c>
      <c r="E629" s="4">
        <v>1</v>
      </c>
    </row>
    <row r="630" spans="1:5" ht="141.75" x14ac:dyDescent="0.25">
      <c r="A630" s="4">
        <f t="shared" si="9"/>
        <v>629</v>
      </c>
      <c r="B630" s="4" t="s">
        <v>725</v>
      </c>
      <c r="C630" s="5" t="s">
        <v>726</v>
      </c>
      <c r="D630" s="4">
        <v>9</v>
      </c>
      <c r="E630" s="4">
        <v>1</v>
      </c>
    </row>
    <row r="631" spans="1:5" ht="141.75" x14ac:dyDescent="0.25">
      <c r="A631" s="4">
        <f t="shared" si="9"/>
        <v>630</v>
      </c>
      <c r="B631" s="4" t="s">
        <v>727</v>
      </c>
      <c r="C631" s="5" t="s">
        <v>728</v>
      </c>
      <c r="D631" s="4">
        <v>9</v>
      </c>
      <c r="E631" s="4">
        <v>1</v>
      </c>
    </row>
    <row r="632" spans="1:5" ht="126" x14ac:dyDescent="0.25">
      <c r="A632" s="4">
        <f t="shared" si="9"/>
        <v>631</v>
      </c>
      <c r="B632" s="4" t="s">
        <v>729</v>
      </c>
      <c r="C632" s="5" t="s">
        <v>730</v>
      </c>
      <c r="D632" s="4">
        <v>9</v>
      </c>
      <c r="E632" s="4">
        <v>4</v>
      </c>
    </row>
    <row r="633" spans="1:5" ht="31.5" x14ac:dyDescent="0.25">
      <c r="A633" s="4">
        <f t="shared" si="9"/>
        <v>632</v>
      </c>
      <c r="B633" s="4" t="s">
        <v>731</v>
      </c>
      <c r="C633" s="5" t="s">
        <v>732</v>
      </c>
      <c r="D633" s="4">
        <v>9</v>
      </c>
      <c r="E633" s="4">
        <v>4</v>
      </c>
    </row>
    <row r="634" spans="1:5" ht="189" x14ac:dyDescent="0.25">
      <c r="A634" s="4">
        <f t="shared" si="9"/>
        <v>633</v>
      </c>
      <c r="B634" s="4" t="s">
        <v>733</v>
      </c>
      <c r="C634" s="5" t="s">
        <v>734</v>
      </c>
      <c r="D634" s="4">
        <v>9</v>
      </c>
      <c r="E634" s="4">
        <v>2</v>
      </c>
    </row>
    <row r="635" spans="1:5" ht="78.75" x14ac:dyDescent="0.25">
      <c r="A635" s="4">
        <f t="shared" si="9"/>
        <v>634</v>
      </c>
      <c r="B635" s="4" t="s">
        <v>735</v>
      </c>
      <c r="C635" s="5" t="s">
        <v>736</v>
      </c>
      <c r="D635" s="4">
        <v>9</v>
      </c>
      <c r="E635" s="4">
        <v>4</v>
      </c>
    </row>
    <row r="636" spans="1:5" x14ac:dyDescent="0.25">
      <c r="A636" s="4">
        <f t="shared" si="9"/>
        <v>635</v>
      </c>
      <c r="B636" s="4" t="s">
        <v>737</v>
      </c>
      <c r="C636" s="5" t="s">
        <v>738</v>
      </c>
      <c r="D636" s="4">
        <v>9</v>
      </c>
      <c r="E636" s="4">
        <v>4</v>
      </c>
    </row>
    <row r="637" spans="1:5" x14ac:dyDescent="0.25">
      <c r="A637" s="4">
        <f t="shared" si="9"/>
        <v>636</v>
      </c>
      <c r="B637" s="4" t="s">
        <v>739</v>
      </c>
      <c r="C637" s="5" t="s">
        <v>740</v>
      </c>
      <c r="D637" s="4">
        <v>9</v>
      </c>
      <c r="E637" s="4">
        <v>4</v>
      </c>
    </row>
    <row r="638" spans="1:5" x14ac:dyDescent="0.25">
      <c r="A638" s="4">
        <f t="shared" si="9"/>
        <v>637</v>
      </c>
      <c r="B638" s="4" t="s">
        <v>741</v>
      </c>
      <c r="C638" s="5" t="s">
        <v>742</v>
      </c>
      <c r="D638" s="4">
        <v>9</v>
      </c>
      <c r="E638" s="4">
        <v>4</v>
      </c>
    </row>
    <row r="639" spans="1:5" ht="110.25" x14ac:dyDescent="0.25">
      <c r="A639" s="4">
        <f t="shared" si="9"/>
        <v>638</v>
      </c>
      <c r="B639" s="4" t="s">
        <v>743</v>
      </c>
      <c r="C639" s="5" t="s">
        <v>744</v>
      </c>
      <c r="D639" s="4">
        <v>9</v>
      </c>
      <c r="E639" s="4">
        <v>2</v>
      </c>
    </row>
    <row r="640" spans="1:5" ht="63" x14ac:dyDescent="0.25">
      <c r="A640" s="4">
        <f t="shared" si="9"/>
        <v>639</v>
      </c>
      <c r="B640" s="4" t="s">
        <v>1420</v>
      </c>
      <c r="C640" s="5" t="s">
        <v>745</v>
      </c>
      <c r="D640" s="4">
        <v>16</v>
      </c>
      <c r="E640" s="4">
        <v>1</v>
      </c>
    </row>
    <row r="641" spans="1:5" ht="78.75" x14ac:dyDescent="0.25">
      <c r="A641" s="4">
        <f t="shared" si="9"/>
        <v>640</v>
      </c>
      <c r="B641" s="4" t="s">
        <v>361</v>
      </c>
      <c r="C641" s="5" t="s">
        <v>746</v>
      </c>
      <c r="D641" s="4">
        <v>16</v>
      </c>
      <c r="E641" s="4">
        <v>1</v>
      </c>
    </row>
    <row r="642" spans="1:5" ht="362.25" x14ac:dyDescent="0.25">
      <c r="A642" s="4">
        <f t="shared" si="9"/>
        <v>641</v>
      </c>
      <c r="B642" s="4" t="s">
        <v>1401</v>
      </c>
      <c r="C642" s="5" t="s">
        <v>747</v>
      </c>
      <c r="D642" s="4">
        <v>16</v>
      </c>
      <c r="E642" s="4">
        <v>2</v>
      </c>
    </row>
    <row r="643" spans="1:5" ht="252" x14ac:dyDescent="0.25">
      <c r="A643" s="4">
        <f t="shared" si="9"/>
        <v>642</v>
      </c>
      <c r="B643" s="4" t="s">
        <v>1403</v>
      </c>
      <c r="C643" s="5" t="s">
        <v>748</v>
      </c>
      <c r="D643" s="4">
        <v>16</v>
      </c>
      <c r="E643" s="4">
        <v>1</v>
      </c>
    </row>
    <row r="644" spans="1:5" ht="283.5" x14ac:dyDescent="0.25">
      <c r="A644" s="4">
        <f t="shared" si="9"/>
        <v>643</v>
      </c>
      <c r="B644" s="4" t="s">
        <v>1404</v>
      </c>
      <c r="C644" s="5" t="s">
        <v>749</v>
      </c>
      <c r="D644" s="4">
        <v>16</v>
      </c>
      <c r="E644" s="4">
        <v>1</v>
      </c>
    </row>
    <row r="645" spans="1:5" ht="299.25" x14ac:dyDescent="0.25">
      <c r="A645" s="4">
        <f t="shared" si="9"/>
        <v>644</v>
      </c>
      <c r="B645" s="4" t="s">
        <v>608</v>
      </c>
      <c r="C645" s="5" t="s">
        <v>750</v>
      </c>
      <c r="D645" s="4">
        <v>16</v>
      </c>
      <c r="E645" s="4">
        <v>1</v>
      </c>
    </row>
    <row r="646" spans="1:5" ht="409.5" x14ac:dyDescent="0.25">
      <c r="A646" s="4">
        <f t="shared" si="9"/>
        <v>645</v>
      </c>
      <c r="B646" s="4" t="s">
        <v>1421</v>
      </c>
      <c r="C646" s="5" t="s">
        <v>751</v>
      </c>
      <c r="D646" s="4">
        <v>16</v>
      </c>
      <c r="E646" s="4">
        <v>2</v>
      </c>
    </row>
    <row r="647" spans="1:5" ht="63" x14ac:dyDescent="0.25">
      <c r="A647" s="4">
        <f t="shared" si="9"/>
        <v>646</v>
      </c>
      <c r="B647" s="4" t="s">
        <v>368</v>
      </c>
      <c r="C647" s="5" t="s">
        <v>752</v>
      </c>
      <c r="D647" s="4">
        <v>16</v>
      </c>
      <c r="E647" s="4">
        <v>1</v>
      </c>
    </row>
    <row r="648" spans="1:5" ht="47.25" x14ac:dyDescent="0.25">
      <c r="A648" s="4">
        <f t="shared" si="9"/>
        <v>647</v>
      </c>
      <c r="B648" s="4" t="s">
        <v>616</v>
      </c>
      <c r="C648" s="5" t="s">
        <v>753</v>
      </c>
      <c r="D648" s="4">
        <v>16</v>
      </c>
      <c r="E648" s="4">
        <v>2</v>
      </c>
    </row>
    <row r="649" spans="1:5" ht="110.25" x14ac:dyDescent="0.25">
      <c r="A649" s="4">
        <f t="shared" si="9"/>
        <v>648</v>
      </c>
      <c r="B649" s="4" t="s">
        <v>1422</v>
      </c>
      <c r="C649" s="5" t="s">
        <v>754</v>
      </c>
      <c r="D649" s="4">
        <v>16</v>
      </c>
      <c r="E649" s="4">
        <v>2</v>
      </c>
    </row>
    <row r="650" spans="1:5" ht="110.25" x14ac:dyDescent="0.25">
      <c r="A650" s="4">
        <f t="shared" ref="A650:A735" si="10">ROW()-1</f>
        <v>649</v>
      </c>
      <c r="B650" s="4" t="s">
        <v>600</v>
      </c>
      <c r="C650" s="5" t="s">
        <v>755</v>
      </c>
      <c r="D650" s="4">
        <v>16</v>
      </c>
      <c r="E650" s="4">
        <v>2</v>
      </c>
    </row>
    <row r="651" spans="1:5" ht="63" x14ac:dyDescent="0.25">
      <c r="A651" s="4">
        <f t="shared" si="10"/>
        <v>650</v>
      </c>
      <c r="B651" s="4" t="s">
        <v>756</v>
      </c>
      <c r="C651" s="5" t="s">
        <v>757</v>
      </c>
      <c r="D651" s="4">
        <v>16</v>
      </c>
      <c r="E651" s="4">
        <v>2</v>
      </c>
    </row>
    <row r="652" spans="1:5" ht="78.75" x14ac:dyDescent="0.25">
      <c r="A652" s="4">
        <f t="shared" si="10"/>
        <v>651</v>
      </c>
      <c r="B652" s="4" t="s">
        <v>1423</v>
      </c>
      <c r="C652" s="5" t="s">
        <v>758</v>
      </c>
      <c r="D652" s="4">
        <v>16</v>
      </c>
      <c r="E652" s="4">
        <v>2</v>
      </c>
    </row>
    <row r="653" spans="1:5" ht="63" x14ac:dyDescent="0.25">
      <c r="A653" s="4">
        <f t="shared" si="10"/>
        <v>652</v>
      </c>
      <c r="B653" s="4" t="s">
        <v>1424</v>
      </c>
      <c r="C653" s="5" t="s">
        <v>759</v>
      </c>
      <c r="D653" s="4">
        <v>16</v>
      </c>
      <c r="E653" s="4">
        <v>2</v>
      </c>
    </row>
    <row r="654" spans="1:5" ht="409.5" x14ac:dyDescent="0.25">
      <c r="A654" s="4">
        <f t="shared" si="10"/>
        <v>653</v>
      </c>
      <c r="B654" s="4" t="s">
        <v>1425</v>
      </c>
      <c r="C654" s="5" t="s">
        <v>1181</v>
      </c>
      <c r="D654" s="4">
        <v>16</v>
      </c>
      <c r="E654" s="4">
        <v>2</v>
      </c>
    </row>
    <row r="655" spans="1:5" ht="409.5" x14ac:dyDescent="0.25">
      <c r="A655" s="4">
        <f t="shared" si="10"/>
        <v>654</v>
      </c>
      <c r="B655" s="4" t="s">
        <v>1426</v>
      </c>
      <c r="C655" s="5" t="s">
        <v>1183</v>
      </c>
      <c r="D655" s="4">
        <v>16</v>
      </c>
      <c r="E655" s="4">
        <v>2</v>
      </c>
    </row>
    <row r="656" spans="1:5" ht="220.5" x14ac:dyDescent="0.25">
      <c r="A656" s="4">
        <f t="shared" si="10"/>
        <v>655</v>
      </c>
      <c r="B656" s="4" t="s">
        <v>1427</v>
      </c>
      <c r="C656" s="5" t="s">
        <v>1182</v>
      </c>
      <c r="D656" s="4">
        <v>16</v>
      </c>
      <c r="E656" s="4">
        <v>2</v>
      </c>
    </row>
    <row r="657" spans="1:5" ht="409.5" x14ac:dyDescent="0.25">
      <c r="A657" s="4">
        <f t="shared" si="10"/>
        <v>656</v>
      </c>
      <c r="B657" s="4" t="s">
        <v>760</v>
      </c>
      <c r="C657" s="5" t="s">
        <v>761</v>
      </c>
      <c r="D657" s="4">
        <v>16</v>
      </c>
      <c r="E657" s="4">
        <v>1</v>
      </c>
    </row>
    <row r="658" spans="1:5" ht="409.5" x14ac:dyDescent="0.25">
      <c r="A658" s="4">
        <f t="shared" si="10"/>
        <v>657</v>
      </c>
      <c r="B658" s="4" t="s">
        <v>605</v>
      </c>
      <c r="C658" s="5" t="s">
        <v>762</v>
      </c>
      <c r="D658" s="4">
        <v>16</v>
      </c>
      <c r="E658" s="4">
        <v>1</v>
      </c>
    </row>
    <row r="659" spans="1:5" ht="189" x14ac:dyDescent="0.25">
      <c r="A659" s="4">
        <f t="shared" si="10"/>
        <v>658</v>
      </c>
      <c r="B659" s="4" t="s">
        <v>606</v>
      </c>
      <c r="C659" s="5" t="s">
        <v>763</v>
      </c>
      <c r="D659" s="4">
        <v>16</v>
      </c>
      <c r="E659" s="4">
        <v>1</v>
      </c>
    </row>
    <row r="660" spans="1:5" ht="189" x14ac:dyDescent="0.25">
      <c r="A660" s="4">
        <f t="shared" si="10"/>
        <v>659</v>
      </c>
      <c r="B660" s="4" t="s">
        <v>286</v>
      </c>
      <c r="C660" s="5" t="s">
        <v>1184</v>
      </c>
      <c r="D660" s="4">
        <v>16</v>
      </c>
      <c r="E660" s="4">
        <v>1</v>
      </c>
    </row>
    <row r="661" spans="1:5" ht="204.75" x14ac:dyDescent="0.25">
      <c r="A661" s="4">
        <f t="shared" si="10"/>
        <v>660</v>
      </c>
      <c r="B661" s="4" t="s">
        <v>607</v>
      </c>
      <c r="C661" s="5" t="s">
        <v>1185</v>
      </c>
      <c r="D661" s="4">
        <v>16</v>
      </c>
      <c r="E661" s="4">
        <v>2</v>
      </c>
    </row>
    <row r="662" spans="1:5" x14ac:dyDescent="0.25">
      <c r="A662" s="4">
        <f t="shared" si="10"/>
        <v>661</v>
      </c>
      <c r="B662" s="4" t="s">
        <v>557</v>
      </c>
      <c r="C662" s="5" t="s">
        <v>764</v>
      </c>
      <c r="D662" s="4">
        <v>16</v>
      </c>
      <c r="E662" s="4">
        <v>4</v>
      </c>
    </row>
    <row r="663" spans="1:5" ht="31.5" x14ac:dyDescent="0.25">
      <c r="A663" s="4">
        <f t="shared" si="10"/>
        <v>662</v>
      </c>
      <c r="B663" s="4" t="s">
        <v>1124</v>
      </c>
      <c r="C663" s="5" t="s">
        <v>765</v>
      </c>
      <c r="D663" s="4">
        <v>16</v>
      </c>
      <c r="E663" s="4">
        <v>4</v>
      </c>
    </row>
    <row r="664" spans="1:5" ht="78.75" x14ac:dyDescent="0.25">
      <c r="A664" s="4">
        <f t="shared" si="10"/>
        <v>663</v>
      </c>
      <c r="B664" s="4" t="s">
        <v>1428</v>
      </c>
      <c r="C664" s="5" t="s">
        <v>766</v>
      </c>
      <c r="D664" s="4">
        <v>16</v>
      </c>
      <c r="E664" s="4">
        <v>1</v>
      </c>
    </row>
    <row r="665" spans="1:5" ht="141.75" x14ac:dyDescent="0.25">
      <c r="A665" s="4">
        <f t="shared" si="10"/>
        <v>664</v>
      </c>
      <c r="B665" s="4" t="s">
        <v>767</v>
      </c>
      <c r="C665" s="5" t="s">
        <v>768</v>
      </c>
      <c r="D665" s="4">
        <v>16</v>
      </c>
      <c r="E665" s="4">
        <v>1</v>
      </c>
    </row>
    <row r="666" spans="1:5" ht="126" x14ac:dyDescent="0.25">
      <c r="A666" s="4">
        <f t="shared" si="10"/>
        <v>665</v>
      </c>
      <c r="B666" s="4" t="s">
        <v>467</v>
      </c>
      <c r="C666" s="5" t="s">
        <v>769</v>
      </c>
      <c r="D666" s="4">
        <v>16</v>
      </c>
      <c r="E666" s="4">
        <v>1</v>
      </c>
    </row>
    <row r="667" spans="1:5" ht="126" x14ac:dyDescent="0.25">
      <c r="A667" s="4">
        <f t="shared" si="10"/>
        <v>666</v>
      </c>
      <c r="B667" s="4" t="s">
        <v>284</v>
      </c>
      <c r="C667" s="5" t="s">
        <v>770</v>
      </c>
      <c r="D667" s="4">
        <v>16</v>
      </c>
      <c r="E667" s="4">
        <v>1</v>
      </c>
    </row>
    <row r="668" spans="1:5" ht="409.5" x14ac:dyDescent="0.25">
      <c r="A668" s="4">
        <f t="shared" si="10"/>
        <v>667</v>
      </c>
      <c r="B668" s="4" t="s">
        <v>373</v>
      </c>
      <c r="C668" s="5" t="s">
        <v>1186</v>
      </c>
      <c r="D668" s="4">
        <v>16</v>
      </c>
      <c r="E668" s="4">
        <v>2</v>
      </c>
    </row>
    <row r="669" spans="1:5" ht="267.75" x14ac:dyDescent="0.25">
      <c r="A669" s="4">
        <f t="shared" si="10"/>
        <v>668</v>
      </c>
      <c r="B669" s="4" t="s">
        <v>771</v>
      </c>
      <c r="C669" s="5" t="s">
        <v>1188</v>
      </c>
      <c r="D669" s="4">
        <v>16</v>
      </c>
      <c r="E669" s="4">
        <v>1</v>
      </c>
    </row>
    <row r="670" spans="1:5" ht="94.5" x14ac:dyDescent="0.25">
      <c r="A670" s="4">
        <f t="shared" si="10"/>
        <v>669</v>
      </c>
      <c r="B670" s="4" t="s">
        <v>772</v>
      </c>
      <c r="C670" s="5" t="s">
        <v>1187</v>
      </c>
      <c r="D670" s="4">
        <v>16</v>
      </c>
      <c r="E670" s="4">
        <v>1</v>
      </c>
    </row>
    <row r="671" spans="1:5" ht="315" x14ac:dyDescent="0.25">
      <c r="A671" s="4">
        <f t="shared" si="10"/>
        <v>670</v>
      </c>
      <c r="B671" s="4" t="s">
        <v>773</v>
      </c>
      <c r="C671" s="5" t="s">
        <v>774</v>
      </c>
      <c r="D671" s="4">
        <v>16</v>
      </c>
      <c r="E671" s="4">
        <v>2</v>
      </c>
    </row>
    <row r="672" spans="1:5" ht="110.25" x14ac:dyDescent="0.25">
      <c r="A672" s="4">
        <f t="shared" si="10"/>
        <v>671</v>
      </c>
      <c r="B672" s="4" t="s">
        <v>775</v>
      </c>
      <c r="C672" s="5" t="s">
        <v>776</v>
      </c>
      <c r="D672" s="4">
        <v>16</v>
      </c>
      <c r="E672" s="4">
        <v>2</v>
      </c>
    </row>
    <row r="673" spans="1:5" x14ac:dyDescent="0.25">
      <c r="A673" s="4">
        <f t="shared" si="10"/>
        <v>672</v>
      </c>
      <c r="B673" s="4" t="s">
        <v>777</v>
      </c>
      <c r="C673" s="5" t="s">
        <v>778</v>
      </c>
      <c r="D673" s="4">
        <v>16</v>
      </c>
      <c r="E673" s="4">
        <v>3</v>
      </c>
    </row>
    <row r="674" spans="1:5" x14ac:dyDescent="0.25">
      <c r="A674" s="4">
        <f t="shared" si="10"/>
        <v>673</v>
      </c>
      <c r="B674" s="4" t="s">
        <v>779</v>
      </c>
      <c r="C674" s="5" t="s">
        <v>780</v>
      </c>
      <c r="D674" s="4">
        <v>16</v>
      </c>
      <c r="E674" s="4">
        <v>3</v>
      </c>
    </row>
    <row r="675" spans="1:5" ht="31.5" x14ac:dyDescent="0.25">
      <c r="A675" s="4">
        <f t="shared" si="10"/>
        <v>674</v>
      </c>
      <c r="B675" s="4" t="s">
        <v>781</v>
      </c>
      <c r="C675" s="5" t="s">
        <v>782</v>
      </c>
      <c r="D675" s="4">
        <v>16</v>
      </c>
      <c r="E675" s="4">
        <v>3</v>
      </c>
    </row>
    <row r="676" spans="1:5" ht="220.5" x14ac:dyDescent="0.25">
      <c r="A676" s="4">
        <f t="shared" si="10"/>
        <v>675</v>
      </c>
      <c r="B676" s="4" t="s">
        <v>1429</v>
      </c>
      <c r="C676" s="5" t="s">
        <v>783</v>
      </c>
      <c r="D676" s="4">
        <v>16</v>
      </c>
      <c r="E676" s="4">
        <v>2</v>
      </c>
    </row>
    <row r="677" spans="1:5" ht="409.5" x14ac:dyDescent="0.25">
      <c r="A677" s="4">
        <f t="shared" si="10"/>
        <v>676</v>
      </c>
      <c r="B677" s="4" t="s">
        <v>784</v>
      </c>
      <c r="C677" s="5" t="s">
        <v>785</v>
      </c>
      <c r="D677" s="4">
        <v>16</v>
      </c>
      <c r="E677" s="4">
        <v>2</v>
      </c>
    </row>
    <row r="678" spans="1:5" x14ac:dyDescent="0.25">
      <c r="A678" s="4">
        <f t="shared" si="10"/>
        <v>677</v>
      </c>
      <c r="B678" s="4" t="s">
        <v>1371</v>
      </c>
      <c r="C678" s="5" t="s">
        <v>786</v>
      </c>
      <c r="D678" s="4">
        <v>16</v>
      </c>
      <c r="E678" s="4">
        <v>2</v>
      </c>
    </row>
    <row r="679" spans="1:5" ht="157.5" x14ac:dyDescent="0.25">
      <c r="A679" s="4">
        <f t="shared" si="10"/>
        <v>678</v>
      </c>
      <c r="B679" s="4" t="s">
        <v>302</v>
      </c>
      <c r="C679" s="5" t="s">
        <v>787</v>
      </c>
      <c r="D679" s="4">
        <v>16</v>
      </c>
      <c r="E679" s="4">
        <v>1</v>
      </c>
    </row>
    <row r="680" spans="1:5" x14ac:dyDescent="0.25">
      <c r="A680" s="4">
        <f t="shared" si="10"/>
        <v>679</v>
      </c>
      <c r="B680" s="4" t="s">
        <v>305</v>
      </c>
      <c r="C680" s="5" t="s">
        <v>788</v>
      </c>
      <c r="D680" s="4">
        <v>16</v>
      </c>
      <c r="E680" s="4">
        <v>4</v>
      </c>
    </row>
    <row r="681" spans="1:5" x14ac:dyDescent="0.25">
      <c r="A681" s="4">
        <f t="shared" si="10"/>
        <v>680</v>
      </c>
      <c r="B681" s="4" t="s">
        <v>306</v>
      </c>
      <c r="C681" s="5" t="s">
        <v>789</v>
      </c>
      <c r="D681" s="4">
        <v>16</v>
      </c>
      <c r="E681" s="4">
        <v>4</v>
      </c>
    </row>
    <row r="682" spans="1:5" ht="47.25" x14ac:dyDescent="0.25">
      <c r="A682" s="4">
        <f t="shared" si="10"/>
        <v>681</v>
      </c>
      <c r="B682" s="4" t="s">
        <v>620</v>
      </c>
      <c r="C682" s="5" t="s">
        <v>790</v>
      </c>
      <c r="D682" s="4">
        <v>16</v>
      </c>
      <c r="E682" s="4">
        <v>4</v>
      </c>
    </row>
    <row r="683" spans="1:5" x14ac:dyDescent="0.25">
      <c r="A683" s="4">
        <f t="shared" si="10"/>
        <v>682</v>
      </c>
      <c r="B683" s="4" t="s">
        <v>350</v>
      </c>
      <c r="C683" s="5" t="s">
        <v>791</v>
      </c>
      <c r="D683" s="4">
        <v>16</v>
      </c>
      <c r="E683" s="4">
        <v>4</v>
      </c>
    </row>
    <row r="684" spans="1:5" ht="283.5" x14ac:dyDescent="0.25">
      <c r="A684" s="4">
        <f t="shared" si="10"/>
        <v>683</v>
      </c>
      <c r="B684" s="4" t="s">
        <v>1430</v>
      </c>
      <c r="C684" s="5" t="s">
        <v>792</v>
      </c>
      <c r="D684" s="4">
        <v>16</v>
      </c>
      <c r="E684" s="4">
        <v>1</v>
      </c>
    </row>
    <row r="685" spans="1:5" ht="110.25" x14ac:dyDescent="0.25">
      <c r="A685" s="4">
        <f t="shared" si="10"/>
        <v>684</v>
      </c>
      <c r="B685" s="4" t="s">
        <v>537</v>
      </c>
      <c r="C685" s="5" t="s">
        <v>1096</v>
      </c>
      <c r="D685" s="4">
        <v>16</v>
      </c>
      <c r="E685" s="4">
        <v>1</v>
      </c>
    </row>
    <row r="686" spans="1:5" ht="409.5" x14ac:dyDescent="0.25">
      <c r="A686" s="4">
        <f t="shared" si="10"/>
        <v>685</v>
      </c>
      <c r="B686" s="4" t="s">
        <v>793</v>
      </c>
      <c r="C686" s="5" t="s">
        <v>794</v>
      </c>
      <c r="D686" s="4">
        <v>16</v>
      </c>
      <c r="E686" s="4">
        <v>1</v>
      </c>
    </row>
    <row r="687" spans="1:5" x14ac:dyDescent="0.25">
      <c r="A687" s="4">
        <f t="shared" si="10"/>
        <v>686</v>
      </c>
      <c r="B687" s="4" t="s">
        <v>795</v>
      </c>
      <c r="C687" s="5" t="s">
        <v>796</v>
      </c>
      <c r="D687" s="4">
        <v>16</v>
      </c>
      <c r="E687" s="4">
        <v>4</v>
      </c>
    </row>
    <row r="688" spans="1:5" ht="47.25" x14ac:dyDescent="0.25">
      <c r="A688" s="4">
        <f t="shared" si="10"/>
        <v>687</v>
      </c>
      <c r="B688" s="4" t="s">
        <v>797</v>
      </c>
      <c r="C688" s="5" t="s">
        <v>798</v>
      </c>
      <c r="D688" s="4">
        <v>16</v>
      </c>
      <c r="E688" s="4">
        <v>2</v>
      </c>
    </row>
    <row r="689" spans="1:5" ht="94.5" x14ac:dyDescent="0.25">
      <c r="A689" s="4">
        <f t="shared" si="10"/>
        <v>688</v>
      </c>
      <c r="B689" s="4" t="s">
        <v>799</v>
      </c>
      <c r="C689" s="5" t="s">
        <v>800</v>
      </c>
      <c r="D689" s="4">
        <v>16</v>
      </c>
      <c r="E689" s="4">
        <v>3</v>
      </c>
    </row>
    <row r="690" spans="1:5" x14ac:dyDescent="0.25">
      <c r="A690" s="4">
        <f t="shared" si="10"/>
        <v>689</v>
      </c>
      <c r="B690" s="4" t="s">
        <v>801</v>
      </c>
      <c r="C690" s="5" t="s">
        <v>802</v>
      </c>
      <c r="D690" s="4">
        <v>16</v>
      </c>
      <c r="E690" s="4">
        <v>3</v>
      </c>
    </row>
    <row r="691" spans="1:5" ht="63" x14ac:dyDescent="0.25">
      <c r="A691" s="4">
        <f>ROW()-1</f>
        <v>690</v>
      </c>
      <c r="B691" s="4" t="s">
        <v>803</v>
      </c>
      <c r="C691" s="5" t="s">
        <v>804</v>
      </c>
      <c r="D691" s="4">
        <v>16</v>
      </c>
      <c r="E691" s="4">
        <v>3</v>
      </c>
    </row>
    <row r="692" spans="1:5" ht="393.75" x14ac:dyDescent="0.25">
      <c r="A692" s="4">
        <f t="shared" ref="A692:A713" si="11">ROW()-1</f>
        <v>691</v>
      </c>
      <c r="B692" s="4" t="s">
        <v>539</v>
      </c>
      <c r="C692" s="5" t="s">
        <v>1224</v>
      </c>
      <c r="D692" s="4">
        <v>17</v>
      </c>
      <c r="E692" s="4">
        <v>2</v>
      </c>
    </row>
    <row r="693" spans="1:5" ht="409.5" x14ac:dyDescent="0.25">
      <c r="A693" s="4">
        <f t="shared" si="11"/>
        <v>692</v>
      </c>
      <c r="B693" s="4" t="s">
        <v>545</v>
      </c>
      <c r="C693" s="5" t="s">
        <v>1189</v>
      </c>
      <c r="D693" s="4">
        <v>17</v>
      </c>
      <c r="E693" s="4">
        <v>2</v>
      </c>
    </row>
    <row r="694" spans="1:5" ht="315" x14ac:dyDescent="0.25">
      <c r="A694" s="4">
        <f t="shared" si="11"/>
        <v>693</v>
      </c>
      <c r="B694" s="4" t="s">
        <v>1431</v>
      </c>
      <c r="C694" s="5" t="s">
        <v>1190</v>
      </c>
      <c r="D694" s="4">
        <v>17</v>
      </c>
      <c r="E694" s="4">
        <v>2</v>
      </c>
    </row>
    <row r="695" spans="1:5" ht="78.75" x14ac:dyDescent="0.25">
      <c r="A695" s="4">
        <f t="shared" si="11"/>
        <v>694</v>
      </c>
      <c r="B695" s="4" t="s">
        <v>1191</v>
      </c>
      <c r="C695" s="5" t="s">
        <v>1192</v>
      </c>
      <c r="D695" s="4">
        <v>17</v>
      </c>
      <c r="E695" s="4">
        <v>4</v>
      </c>
    </row>
    <row r="696" spans="1:5" ht="252" x14ac:dyDescent="0.25">
      <c r="A696" s="4">
        <f t="shared" si="11"/>
        <v>695</v>
      </c>
      <c r="B696" s="4" t="s">
        <v>1432</v>
      </c>
      <c r="C696" s="5" t="s">
        <v>1193</v>
      </c>
      <c r="D696" s="4">
        <v>17</v>
      </c>
      <c r="E696" s="4">
        <v>2</v>
      </c>
    </row>
    <row r="697" spans="1:5" ht="157.5" x14ac:dyDescent="0.25">
      <c r="A697" s="4">
        <f t="shared" si="11"/>
        <v>696</v>
      </c>
      <c r="B697" s="4" t="s">
        <v>1433</v>
      </c>
      <c r="C697" s="5" t="s">
        <v>1194</v>
      </c>
      <c r="D697" s="4">
        <v>17</v>
      </c>
      <c r="E697" s="4">
        <v>2</v>
      </c>
    </row>
    <row r="698" spans="1:5" ht="236.25" x14ac:dyDescent="0.25">
      <c r="A698" s="4">
        <f t="shared" si="11"/>
        <v>697</v>
      </c>
      <c r="B698" s="4" t="s">
        <v>1195</v>
      </c>
      <c r="C698" s="5" t="s">
        <v>1196</v>
      </c>
      <c r="D698" s="4">
        <v>17</v>
      </c>
      <c r="E698" s="4">
        <v>2</v>
      </c>
    </row>
    <row r="699" spans="1:5" ht="346.5" x14ac:dyDescent="0.25">
      <c r="A699" s="4">
        <f t="shared" si="11"/>
        <v>698</v>
      </c>
      <c r="B699" s="4" t="s">
        <v>1197</v>
      </c>
      <c r="C699" s="5" t="s">
        <v>1198</v>
      </c>
      <c r="D699" s="4">
        <v>17</v>
      </c>
      <c r="E699" s="4">
        <v>2</v>
      </c>
    </row>
    <row r="700" spans="1:5" ht="126" x14ac:dyDescent="0.25">
      <c r="A700" s="4">
        <f t="shared" si="11"/>
        <v>699</v>
      </c>
      <c r="B700" s="4" t="s">
        <v>1199</v>
      </c>
      <c r="C700" s="5" t="s">
        <v>1200</v>
      </c>
      <c r="D700" s="4">
        <v>17</v>
      </c>
      <c r="E700" s="4">
        <v>1</v>
      </c>
    </row>
    <row r="701" spans="1:5" ht="204.75" x14ac:dyDescent="0.25">
      <c r="A701" s="4">
        <f t="shared" si="11"/>
        <v>700</v>
      </c>
      <c r="B701" s="4" t="s">
        <v>693</v>
      </c>
      <c r="C701" s="5" t="s">
        <v>1201</v>
      </c>
      <c r="D701" s="4">
        <v>17</v>
      </c>
      <c r="E701" s="4">
        <v>2</v>
      </c>
    </row>
    <row r="702" spans="1:5" ht="204.75" x14ac:dyDescent="0.25">
      <c r="A702" s="4">
        <f t="shared" si="11"/>
        <v>701</v>
      </c>
      <c r="B702" s="4" t="s">
        <v>1202</v>
      </c>
      <c r="C702" s="5" t="s">
        <v>1203</v>
      </c>
      <c r="D702" s="4">
        <v>17</v>
      </c>
      <c r="E702" s="4">
        <v>1</v>
      </c>
    </row>
    <row r="703" spans="1:5" ht="409.5" x14ac:dyDescent="0.25">
      <c r="A703" s="4">
        <f t="shared" si="11"/>
        <v>702</v>
      </c>
      <c r="B703" s="4" t="s">
        <v>1434</v>
      </c>
      <c r="C703" s="5" t="s">
        <v>1204</v>
      </c>
      <c r="D703" s="4">
        <v>17</v>
      </c>
      <c r="E703" s="4">
        <v>2</v>
      </c>
    </row>
    <row r="704" spans="1:5" ht="378" x14ac:dyDescent="0.25">
      <c r="A704" s="4">
        <f t="shared" si="11"/>
        <v>703</v>
      </c>
      <c r="B704" s="4" t="s">
        <v>1205</v>
      </c>
      <c r="C704" s="5" t="s">
        <v>1206</v>
      </c>
      <c r="D704" s="4">
        <v>17</v>
      </c>
      <c r="E704" s="4">
        <v>2</v>
      </c>
    </row>
    <row r="705" spans="1:5" ht="267.75" x14ac:dyDescent="0.25">
      <c r="A705" s="4">
        <f t="shared" si="11"/>
        <v>704</v>
      </c>
      <c r="B705" s="4" t="s">
        <v>1207</v>
      </c>
      <c r="C705" s="5" t="s">
        <v>1208</v>
      </c>
      <c r="D705" s="4">
        <v>17</v>
      </c>
      <c r="E705" s="4">
        <v>2</v>
      </c>
    </row>
    <row r="706" spans="1:5" ht="252" x14ac:dyDescent="0.25">
      <c r="A706" s="4">
        <f t="shared" si="11"/>
        <v>705</v>
      </c>
      <c r="B706" s="4" t="s">
        <v>1209</v>
      </c>
      <c r="C706" s="5" t="s">
        <v>1210</v>
      </c>
      <c r="D706" s="4">
        <v>17</v>
      </c>
      <c r="E706" s="4">
        <v>2</v>
      </c>
    </row>
    <row r="707" spans="1:5" ht="157.5" x14ac:dyDescent="0.25">
      <c r="A707" s="4">
        <f t="shared" si="11"/>
        <v>706</v>
      </c>
      <c r="B707" s="4" t="s">
        <v>1211</v>
      </c>
      <c r="C707" s="5" t="s">
        <v>1212</v>
      </c>
      <c r="D707" s="4">
        <v>17</v>
      </c>
      <c r="E707" s="4">
        <v>1</v>
      </c>
    </row>
    <row r="708" spans="1:5" ht="78.75" x14ac:dyDescent="0.25">
      <c r="A708" s="4">
        <f t="shared" si="11"/>
        <v>707</v>
      </c>
      <c r="B708" s="4" t="s">
        <v>1213</v>
      </c>
      <c r="C708" s="5" t="s">
        <v>1214</v>
      </c>
      <c r="D708" s="4">
        <v>17</v>
      </c>
      <c r="E708" s="4">
        <v>2</v>
      </c>
    </row>
    <row r="709" spans="1:5" ht="94.5" x14ac:dyDescent="0.25">
      <c r="A709" s="4">
        <f t="shared" si="11"/>
        <v>708</v>
      </c>
      <c r="B709" s="4" t="s">
        <v>1215</v>
      </c>
      <c r="C709" s="5" t="s">
        <v>1216</v>
      </c>
      <c r="D709" s="4">
        <v>17</v>
      </c>
      <c r="E709" s="4">
        <v>2</v>
      </c>
    </row>
    <row r="710" spans="1:5" ht="126" x14ac:dyDescent="0.25">
      <c r="A710" s="4">
        <f t="shared" si="11"/>
        <v>709</v>
      </c>
      <c r="B710" s="4" t="s">
        <v>1217</v>
      </c>
      <c r="C710" s="5" t="s">
        <v>1218</v>
      </c>
      <c r="D710" s="4">
        <v>17</v>
      </c>
      <c r="E710" s="4">
        <v>1</v>
      </c>
    </row>
    <row r="711" spans="1:5" ht="94.5" x14ac:dyDescent="0.25">
      <c r="A711" s="4">
        <f t="shared" si="11"/>
        <v>710</v>
      </c>
      <c r="B711" s="4" t="s">
        <v>1219</v>
      </c>
      <c r="C711" s="5" t="s">
        <v>1220</v>
      </c>
      <c r="D711" s="4">
        <v>17</v>
      </c>
      <c r="E711" s="4">
        <v>1</v>
      </c>
    </row>
    <row r="712" spans="1:5" ht="126" x14ac:dyDescent="0.25">
      <c r="A712" s="4">
        <f t="shared" si="11"/>
        <v>711</v>
      </c>
      <c r="B712" s="4" t="s">
        <v>1221</v>
      </c>
      <c r="C712" s="5" t="s">
        <v>1222</v>
      </c>
      <c r="D712" s="4">
        <v>17</v>
      </c>
      <c r="E712" s="4">
        <v>1</v>
      </c>
    </row>
    <row r="713" spans="1:5" ht="330.75" x14ac:dyDescent="0.25">
      <c r="A713" s="4">
        <f t="shared" si="11"/>
        <v>712</v>
      </c>
      <c r="B713" s="4" t="s">
        <v>1435</v>
      </c>
      <c r="C713" s="5" t="s">
        <v>1223</v>
      </c>
      <c r="D713" s="4">
        <v>17</v>
      </c>
      <c r="E713" s="4">
        <v>2</v>
      </c>
    </row>
    <row r="714" spans="1:5" ht="78.75" x14ac:dyDescent="0.25">
      <c r="A714" s="4">
        <f t="shared" si="10"/>
        <v>713</v>
      </c>
      <c r="B714" s="4" t="s">
        <v>1420</v>
      </c>
      <c r="C714" s="5" t="s">
        <v>805</v>
      </c>
      <c r="D714" s="4">
        <v>19</v>
      </c>
      <c r="E714" s="4">
        <v>1</v>
      </c>
    </row>
    <row r="715" spans="1:5" ht="78.75" x14ac:dyDescent="0.25">
      <c r="A715" s="4">
        <f t="shared" si="10"/>
        <v>714</v>
      </c>
      <c r="B715" s="4" t="s">
        <v>501</v>
      </c>
      <c r="C715" s="5" t="s">
        <v>806</v>
      </c>
      <c r="D715" s="4">
        <v>19</v>
      </c>
      <c r="E715" s="4">
        <v>1</v>
      </c>
    </row>
    <row r="716" spans="1:5" ht="409.5" x14ac:dyDescent="0.25">
      <c r="A716" s="4">
        <f t="shared" si="10"/>
        <v>715</v>
      </c>
      <c r="B716" s="4" t="s">
        <v>1401</v>
      </c>
      <c r="C716" s="5" t="s">
        <v>807</v>
      </c>
      <c r="D716" s="4">
        <v>19</v>
      </c>
      <c r="E716" s="4">
        <v>3</v>
      </c>
    </row>
    <row r="717" spans="1:5" ht="315" x14ac:dyDescent="0.25">
      <c r="A717" s="4">
        <f t="shared" si="10"/>
        <v>716</v>
      </c>
      <c r="B717" s="4" t="s">
        <v>1402</v>
      </c>
      <c r="C717" s="5" t="s">
        <v>808</v>
      </c>
      <c r="D717" s="4">
        <v>19</v>
      </c>
      <c r="E717" s="4">
        <v>3</v>
      </c>
    </row>
    <row r="718" spans="1:5" ht="409.5" x14ac:dyDescent="0.25">
      <c r="A718" s="4">
        <f t="shared" si="10"/>
        <v>717</v>
      </c>
      <c r="B718" s="4" t="s">
        <v>1403</v>
      </c>
      <c r="C718" s="5" t="s">
        <v>809</v>
      </c>
      <c r="D718" s="4">
        <v>19</v>
      </c>
      <c r="E718" s="4">
        <v>3</v>
      </c>
    </row>
    <row r="719" spans="1:5" ht="409.5" x14ac:dyDescent="0.25">
      <c r="A719" s="4">
        <f t="shared" si="10"/>
        <v>718</v>
      </c>
      <c r="B719" s="4" t="s">
        <v>1404</v>
      </c>
      <c r="C719" s="5" t="s">
        <v>810</v>
      </c>
      <c r="D719" s="4">
        <v>19</v>
      </c>
      <c r="E719" s="4">
        <v>3</v>
      </c>
    </row>
    <row r="720" spans="1:5" ht="409.5" x14ac:dyDescent="0.25">
      <c r="A720" s="4">
        <f t="shared" si="10"/>
        <v>719</v>
      </c>
      <c r="B720" s="4" t="s">
        <v>1405</v>
      </c>
      <c r="C720" s="5" t="s">
        <v>811</v>
      </c>
      <c r="D720" s="4">
        <v>19</v>
      </c>
      <c r="E720" s="4">
        <v>3</v>
      </c>
    </row>
    <row r="721" spans="1:5" ht="346.5" x14ac:dyDescent="0.25">
      <c r="A721" s="4">
        <f t="shared" si="10"/>
        <v>720</v>
      </c>
      <c r="B721" s="4" t="s">
        <v>1406</v>
      </c>
      <c r="C721" s="5" t="s">
        <v>812</v>
      </c>
      <c r="D721" s="4">
        <v>19</v>
      </c>
      <c r="E721" s="4">
        <v>3</v>
      </c>
    </row>
    <row r="722" spans="1:5" ht="346.5" x14ac:dyDescent="0.25">
      <c r="A722" s="4">
        <f t="shared" si="10"/>
        <v>721</v>
      </c>
      <c r="B722" s="4" t="s">
        <v>1407</v>
      </c>
      <c r="C722" s="5" t="s">
        <v>813</v>
      </c>
      <c r="D722" s="4">
        <v>19</v>
      </c>
      <c r="E722" s="4">
        <v>3</v>
      </c>
    </row>
    <row r="723" spans="1:5" ht="346.5" x14ac:dyDescent="0.25">
      <c r="A723" s="4">
        <f t="shared" si="10"/>
        <v>722</v>
      </c>
      <c r="B723" s="4" t="s">
        <v>1408</v>
      </c>
      <c r="C723" s="5" t="s">
        <v>814</v>
      </c>
      <c r="D723" s="4">
        <v>19</v>
      </c>
      <c r="E723" s="4">
        <v>3</v>
      </c>
    </row>
    <row r="724" spans="1:5" ht="346.5" x14ac:dyDescent="0.25">
      <c r="A724" s="4">
        <f t="shared" si="10"/>
        <v>723</v>
      </c>
      <c r="B724" s="4" t="s">
        <v>1439</v>
      </c>
      <c r="C724" s="5" t="s">
        <v>815</v>
      </c>
      <c r="D724" s="4">
        <v>19</v>
      </c>
      <c r="E724" s="4">
        <v>3</v>
      </c>
    </row>
    <row r="725" spans="1:5" ht="346.5" x14ac:dyDescent="0.25">
      <c r="A725" s="4">
        <f t="shared" si="10"/>
        <v>724</v>
      </c>
      <c r="B725" s="4" t="s">
        <v>1440</v>
      </c>
      <c r="C725" s="5" t="s">
        <v>816</v>
      </c>
      <c r="D725" s="4">
        <v>19</v>
      </c>
      <c r="E725" s="4">
        <v>3</v>
      </c>
    </row>
    <row r="726" spans="1:5" ht="283.5" x14ac:dyDescent="0.25">
      <c r="A726" s="4">
        <f t="shared" si="10"/>
        <v>725</v>
      </c>
      <c r="B726" s="4" t="s">
        <v>1441</v>
      </c>
      <c r="C726" s="5" t="s">
        <v>817</v>
      </c>
      <c r="D726" s="4">
        <v>19</v>
      </c>
      <c r="E726" s="4">
        <v>3</v>
      </c>
    </row>
    <row r="727" spans="1:5" ht="283.5" x14ac:dyDescent="0.25">
      <c r="A727" s="4">
        <f t="shared" si="10"/>
        <v>726</v>
      </c>
      <c r="B727" s="4" t="s">
        <v>1442</v>
      </c>
      <c r="C727" s="5" t="s">
        <v>818</v>
      </c>
      <c r="D727" s="4">
        <v>19</v>
      </c>
      <c r="E727" s="4">
        <v>3</v>
      </c>
    </row>
    <row r="728" spans="1:5" ht="220.5" x14ac:dyDescent="0.25">
      <c r="A728" s="4">
        <f t="shared" si="10"/>
        <v>727</v>
      </c>
      <c r="B728" s="4" t="s">
        <v>1443</v>
      </c>
      <c r="C728" s="5" t="s">
        <v>819</v>
      </c>
      <c r="D728" s="4">
        <v>19</v>
      </c>
      <c r="E728" s="4">
        <v>3</v>
      </c>
    </row>
    <row r="729" spans="1:5" ht="220.5" x14ac:dyDescent="0.25">
      <c r="A729" s="4">
        <f t="shared" si="10"/>
        <v>728</v>
      </c>
      <c r="B729" s="4" t="s">
        <v>1444</v>
      </c>
      <c r="C729" s="5" t="s">
        <v>820</v>
      </c>
      <c r="D729" s="4">
        <v>19</v>
      </c>
      <c r="E729" s="4">
        <v>3</v>
      </c>
    </row>
    <row r="730" spans="1:5" ht="220.5" x14ac:dyDescent="0.25">
      <c r="A730" s="4">
        <f t="shared" si="10"/>
        <v>729</v>
      </c>
      <c r="B730" s="4" t="s">
        <v>1445</v>
      </c>
      <c r="C730" s="5" t="s">
        <v>821</v>
      </c>
      <c r="D730" s="4">
        <v>19</v>
      </c>
      <c r="E730" s="4">
        <v>3</v>
      </c>
    </row>
    <row r="731" spans="1:5" ht="220.5" x14ac:dyDescent="0.25">
      <c r="A731" s="4">
        <f t="shared" si="10"/>
        <v>730</v>
      </c>
      <c r="B731" s="4" t="s">
        <v>1446</v>
      </c>
      <c r="C731" s="5" t="s">
        <v>822</v>
      </c>
      <c r="D731" s="4">
        <v>19</v>
      </c>
      <c r="E731" s="4">
        <v>3</v>
      </c>
    </row>
    <row r="732" spans="1:5" ht="157.5" x14ac:dyDescent="0.25">
      <c r="A732" s="4">
        <f t="shared" si="10"/>
        <v>731</v>
      </c>
      <c r="B732" s="4" t="s">
        <v>1447</v>
      </c>
      <c r="C732" s="5" t="s">
        <v>823</v>
      </c>
      <c r="D732" s="4">
        <v>19</v>
      </c>
      <c r="E732" s="4">
        <v>3</v>
      </c>
    </row>
    <row r="733" spans="1:5" ht="157.5" x14ac:dyDescent="0.25">
      <c r="A733" s="4">
        <f t="shared" si="10"/>
        <v>732</v>
      </c>
      <c r="B733" s="4" t="s">
        <v>1448</v>
      </c>
      <c r="C733" s="5" t="s">
        <v>824</v>
      </c>
      <c r="D733" s="4">
        <v>19</v>
      </c>
      <c r="E733" s="4">
        <v>3</v>
      </c>
    </row>
    <row r="734" spans="1:5" ht="47.25" x14ac:dyDescent="0.25">
      <c r="A734" s="4">
        <f t="shared" si="10"/>
        <v>733</v>
      </c>
      <c r="B734" s="4" t="s">
        <v>1449</v>
      </c>
      <c r="C734" s="5" t="s">
        <v>825</v>
      </c>
      <c r="D734" s="4">
        <v>19</v>
      </c>
      <c r="E734" s="4">
        <v>1</v>
      </c>
    </row>
    <row r="735" spans="1:5" ht="126" x14ac:dyDescent="0.25">
      <c r="A735" s="4">
        <f t="shared" si="10"/>
        <v>734</v>
      </c>
      <c r="B735" s="4" t="s">
        <v>1393</v>
      </c>
      <c r="C735" s="5" t="s">
        <v>826</v>
      </c>
      <c r="D735" s="4">
        <v>19</v>
      </c>
      <c r="E735" s="4">
        <v>4</v>
      </c>
    </row>
    <row r="736" spans="1:5" ht="63" x14ac:dyDescent="0.25">
      <c r="A736" s="4">
        <f t="shared" ref="A736:A800" si="12">ROW()-1</f>
        <v>735</v>
      </c>
      <c r="B736" s="4" t="s">
        <v>1450</v>
      </c>
      <c r="C736" s="5" t="s">
        <v>827</v>
      </c>
      <c r="D736" s="4">
        <v>19</v>
      </c>
      <c r="E736" s="4">
        <v>4</v>
      </c>
    </row>
    <row r="737" spans="1:5" ht="63" x14ac:dyDescent="0.25">
      <c r="A737" s="4">
        <f t="shared" si="12"/>
        <v>736</v>
      </c>
      <c r="B737" s="4" t="s">
        <v>1451</v>
      </c>
      <c r="C737" s="5" t="s">
        <v>828</v>
      </c>
      <c r="D737" s="4">
        <v>19</v>
      </c>
      <c r="E737" s="4">
        <v>4</v>
      </c>
    </row>
    <row r="738" spans="1:5" ht="47.25" x14ac:dyDescent="0.25">
      <c r="A738" s="4">
        <f t="shared" si="12"/>
        <v>737</v>
      </c>
      <c r="B738" s="4" t="s">
        <v>829</v>
      </c>
      <c r="C738" s="5" t="s">
        <v>830</v>
      </c>
      <c r="D738" s="4">
        <v>19</v>
      </c>
      <c r="E738" s="4">
        <v>4</v>
      </c>
    </row>
    <row r="739" spans="1:5" ht="409.5" x14ac:dyDescent="0.25">
      <c r="A739" s="4">
        <f t="shared" si="12"/>
        <v>738</v>
      </c>
      <c r="B739" s="4" t="s">
        <v>1452</v>
      </c>
      <c r="C739" s="5" t="s">
        <v>831</v>
      </c>
      <c r="D739" s="4">
        <v>19</v>
      </c>
      <c r="E739" s="4">
        <v>2</v>
      </c>
    </row>
    <row r="740" spans="1:5" ht="31.5" x14ac:dyDescent="0.25">
      <c r="A740" s="4">
        <f t="shared" si="12"/>
        <v>739</v>
      </c>
      <c r="B740" s="4" t="s">
        <v>832</v>
      </c>
      <c r="C740" s="5" t="s">
        <v>833</v>
      </c>
      <c r="D740" s="4">
        <v>19</v>
      </c>
      <c r="E740" s="4">
        <v>2</v>
      </c>
    </row>
    <row r="741" spans="1:5" ht="31.5" x14ac:dyDescent="0.25">
      <c r="A741" s="4">
        <f t="shared" si="12"/>
        <v>740</v>
      </c>
      <c r="B741" s="4" t="s">
        <v>834</v>
      </c>
      <c r="C741" s="5" t="s">
        <v>835</v>
      </c>
      <c r="D741" s="4">
        <v>19</v>
      </c>
      <c r="E741" s="4">
        <v>2</v>
      </c>
    </row>
    <row r="742" spans="1:5" ht="409.5" x14ac:dyDescent="0.25">
      <c r="A742" s="4">
        <f t="shared" si="12"/>
        <v>741</v>
      </c>
      <c r="B742" s="4" t="s">
        <v>1453</v>
      </c>
      <c r="C742" s="5" t="s">
        <v>836</v>
      </c>
      <c r="D742" s="4">
        <v>19</v>
      </c>
      <c r="E742" s="4">
        <v>2</v>
      </c>
    </row>
    <row r="743" spans="1:5" ht="31.5" x14ac:dyDescent="0.25">
      <c r="A743" s="4">
        <f t="shared" si="12"/>
        <v>742</v>
      </c>
      <c r="B743" s="4" t="s">
        <v>837</v>
      </c>
      <c r="C743" s="5" t="s">
        <v>838</v>
      </c>
      <c r="D743" s="4">
        <v>19</v>
      </c>
      <c r="E743" s="4">
        <v>2</v>
      </c>
    </row>
    <row r="744" spans="1:5" ht="31.5" x14ac:dyDescent="0.25">
      <c r="A744" s="4">
        <f t="shared" si="12"/>
        <v>743</v>
      </c>
      <c r="B744" s="4" t="s">
        <v>839</v>
      </c>
      <c r="C744" s="5" t="s">
        <v>840</v>
      </c>
      <c r="D744" s="4">
        <v>19</v>
      </c>
      <c r="E744" s="4">
        <v>2</v>
      </c>
    </row>
    <row r="745" spans="1:5" ht="283.5" x14ac:dyDescent="0.25">
      <c r="A745" s="4">
        <f t="shared" si="12"/>
        <v>744</v>
      </c>
      <c r="B745" s="4" t="s">
        <v>1311</v>
      </c>
      <c r="C745" s="5" t="s">
        <v>1235</v>
      </c>
      <c r="D745" s="4">
        <v>19</v>
      </c>
      <c r="E745" s="4">
        <v>2</v>
      </c>
    </row>
    <row r="746" spans="1:5" ht="362.25" x14ac:dyDescent="0.25">
      <c r="A746" s="4">
        <f t="shared" si="12"/>
        <v>745</v>
      </c>
      <c r="B746" s="4" t="s">
        <v>1454</v>
      </c>
      <c r="C746" s="5" t="s">
        <v>1236</v>
      </c>
      <c r="D746" s="4">
        <v>19</v>
      </c>
      <c r="E746" s="4">
        <v>2</v>
      </c>
    </row>
    <row r="747" spans="1:5" ht="204.75" x14ac:dyDescent="0.25">
      <c r="A747" s="4">
        <f t="shared" si="12"/>
        <v>746</v>
      </c>
      <c r="B747" s="4" t="s">
        <v>1455</v>
      </c>
      <c r="C747" s="5" t="s">
        <v>1237</v>
      </c>
      <c r="D747" s="4">
        <v>19</v>
      </c>
      <c r="E747" s="4">
        <v>2</v>
      </c>
    </row>
    <row r="748" spans="1:5" ht="409.5" x14ac:dyDescent="0.25">
      <c r="A748" s="4">
        <f t="shared" si="12"/>
        <v>747</v>
      </c>
      <c r="B748" s="4" t="s">
        <v>513</v>
      </c>
      <c r="C748" s="5" t="s">
        <v>841</v>
      </c>
      <c r="D748" s="4">
        <v>19</v>
      </c>
      <c r="E748" s="4">
        <v>1</v>
      </c>
    </row>
    <row r="749" spans="1:5" ht="189" x14ac:dyDescent="0.25">
      <c r="A749" s="4">
        <f t="shared" si="12"/>
        <v>748</v>
      </c>
      <c r="B749" s="4" t="s">
        <v>514</v>
      </c>
      <c r="C749" s="5" t="s">
        <v>842</v>
      </c>
      <c r="D749" s="4">
        <v>19</v>
      </c>
      <c r="E749" s="4">
        <v>1</v>
      </c>
    </row>
    <row r="750" spans="1:5" ht="252" x14ac:dyDescent="0.25">
      <c r="A750" s="4">
        <f t="shared" si="12"/>
        <v>749</v>
      </c>
      <c r="B750" s="4" t="s">
        <v>515</v>
      </c>
      <c r="C750" s="5" t="s">
        <v>843</v>
      </c>
      <c r="D750" s="4">
        <v>19</v>
      </c>
      <c r="E750" s="4">
        <v>1</v>
      </c>
    </row>
    <row r="751" spans="1:5" ht="252" x14ac:dyDescent="0.25">
      <c r="A751" s="4">
        <f t="shared" si="12"/>
        <v>750</v>
      </c>
      <c r="B751" s="4" t="s">
        <v>516</v>
      </c>
      <c r="C751" s="5" t="s">
        <v>844</v>
      </c>
      <c r="D751" s="4">
        <v>19</v>
      </c>
      <c r="E751" s="4">
        <v>1</v>
      </c>
    </row>
    <row r="752" spans="1:5" ht="126" x14ac:dyDescent="0.25">
      <c r="A752" s="4">
        <f t="shared" si="12"/>
        <v>751</v>
      </c>
      <c r="B752" s="4" t="s">
        <v>221</v>
      </c>
      <c r="C752" s="5" t="s">
        <v>1238</v>
      </c>
      <c r="D752" s="4">
        <v>19</v>
      </c>
      <c r="E752" s="4">
        <v>4</v>
      </c>
    </row>
    <row r="753" spans="1:5" x14ac:dyDescent="0.25">
      <c r="A753" s="4">
        <f t="shared" si="12"/>
        <v>752</v>
      </c>
      <c r="B753" s="4" t="s">
        <v>228</v>
      </c>
      <c r="C753" s="5" t="s">
        <v>845</v>
      </c>
      <c r="D753" s="4">
        <v>19</v>
      </c>
      <c r="E753" s="4">
        <v>4</v>
      </c>
    </row>
    <row r="754" spans="1:5" ht="252" x14ac:dyDescent="0.25">
      <c r="A754" s="4">
        <f t="shared" si="12"/>
        <v>753</v>
      </c>
      <c r="B754" s="4" t="s">
        <v>5</v>
      </c>
      <c r="C754" s="5" t="s">
        <v>846</v>
      </c>
      <c r="D754" s="4">
        <v>19</v>
      </c>
      <c r="E754" s="4">
        <v>4</v>
      </c>
    </row>
    <row r="755" spans="1:5" ht="409.5" x14ac:dyDescent="0.25">
      <c r="A755" s="4">
        <f t="shared" si="12"/>
        <v>754</v>
      </c>
      <c r="B755" s="4" t="s">
        <v>505</v>
      </c>
      <c r="C755" s="5" t="s">
        <v>847</v>
      </c>
      <c r="D755" s="4">
        <v>19</v>
      </c>
      <c r="E755" s="4">
        <v>2</v>
      </c>
    </row>
    <row r="756" spans="1:5" ht="409.5" x14ac:dyDescent="0.25">
      <c r="A756" s="4">
        <f t="shared" si="12"/>
        <v>755</v>
      </c>
      <c r="B756" s="4" t="s">
        <v>518</v>
      </c>
      <c r="C756" s="5" t="s">
        <v>848</v>
      </c>
      <c r="D756" s="4">
        <v>19</v>
      </c>
      <c r="E756" s="4">
        <v>1</v>
      </c>
    </row>
    <row r="757" spans="1:5" ht="110.25" x14ac:dyDescent="0.25">
      <c r="A757" s="4">
        <f t="shared" si="12"/>
        <v>756</v>
      </c>
      <c r="B757" s="4" t="s">
        <v>519</v>
      </c>
      <c r="C757" s="5" t="s">
        <v>849</v>
      </c>
      <c r="D757" s="4">
        <v>19</v>
      </c>
      <c r="E757" s="4">
        <v>1</v>
      </c>
    </row>
    <row r="758" spans="1:5" ht="393.75" x14ac:dyDescent="0.25">
      <c r="A758" s="4">
        <f t="shared" si="12"/>
        <v>757</v>
      </c>
      <c r="B758" s="4" t="s">
        <v>248</v>
      </c>
      <c r="C758" s="5" t="s">
        <v>850</v>
      </c>
      <c r="D758" s="4">
        <v>19</v>
      </c>
      <c r="E758" s="4">
        <v>2</v>
      </c>
    </row>
    <row r="759" spans="1:5" ht="346.5" x14ac:dyDescent="0.25">
      <c r="A759" s="4">
        <f t="shared" si="12"/>
        <v>758</v>
      </c>
      <c r="B759" s="4" t="s">
        <v>1392</v>
      </c>
      <c r="C759" s="5" t="s">
        <v>851</v>
      </c>
      <c r="D759" s="4">
        <v>19</v>
      </c>
      <c r="E759" s="4">
        <v>2</v>
      </c>
    </row>
    <row r="760" spans="1:5" ht="362.25" x14ac:dyDescent="0.25">
      <c r="A760" s="4">
        <f t="shared" si="12"/>
        <v>759</v>
      </c>
      <c r="B760" s="4" t="s">
        <v>529</v>
      </c>
      <c r="C760" s="5" t="s">
        <v>852</v>
      </c>
      <c r="D760" s="4">
        <v>19</v>
      </c>
      <c r="E760" s="4">
        <v>1</v>
      </c>
    </row>
    <row r="761" spans="1:5" ht="189" x14ac:dyDescent="0.25">
      <c r="A761" s="4">
        <f t="shared" si="12"/>
        <v>760</v>
      </c>
      <c r="B761" s="4" t="s">
        <v>229</v>
      </c>
      <c r="C761" s="5" t="s">
        <v>853</v>
      </c>
      <c r="D761" s="4">
        <v>19</v>
      </c>
      <c r="E761" s="4">
        <v>1</v>
      </c>
    </row>
    <row r="762" spans="1:5" ht="78.75" x14ac:dyDescent="0.25">
      <c r="A762" s="4">
        <f t="shared" si="12"/>
        <v>761</v>
      </c>
      <c r="B762" s="4" t="s">
        <v>231</v>
      </c>
      <c r="C762" s="5" t="s">
        <v>854</v>
      </c>
      <c r="D762" s="4">
        <v>19</v>
      </c>
      <c r="E762" s="4">
        <v>1</v>
      </c>
    </row>
    <row r="763" spans="1:5" ht="126" x14ac:dyDescent="0.25">
      <c r="A763" s="4">
        <f t="shared" si="12"/>
        <v>762</v>
      </c>
      <c r="B763" s="4" t="s">
        <v>1456</v>
      </c>
      <c r="C763" s="5" t="s">
        <v>855</v>
      </c>
      <c r="D763" s="4">
        <v>19</v>
      </c>
      <c r="E763" s="4">
        <v>2</v>
      </c>
    </row>
    <row r="764" spans="1:5" ht="220.5" x14ac:dyDescent="0.25">
      <c r="A764" s="4">
        <f t="shared" si="12"/>
        <v>763</v>
      </c>
      <c r="B764" s="4" t="s">
        <v>620</v>
      </c>
      <c r="C764" s="5" t="s">
        <v>856</v>
      </c>
      <c r="D764" s="4">
        <v>24</v>
      </c>
      <c r="E764" s="4">
        <v>3</v>
      </c>
    </row>
    <row r="765" spans="1:5" ht="409.5" x14ac:dyDescent="0.25">
      <c r="A765" s="4">
        <f t="shared" si="12"/>
        <v>764</v>
      </c>
      <c r="B765" s="4" t="s">
        <v>1481</v>
      </c>
      <c r="C765" s="5" t="s">
        <v>857</v>
      </c>
      <c r="D765" s="4">
        <v>24</v>
      </c>
      <c r="E765" s="4">
        <v>2</v>
      </c>
    </row>
    <row r="766" spans="1:5" ht="409.5" x14ac:dyDescent="0.25">
      <c r="A766" s="4">
        <f t="shared" si="12"/>
        <v>765</v>
      </c>
      <c r="B766" s="4" t="s">
        <v>1482</v>
      </c>
      <c r="C766" s="5" t="s">
        <v>1097</v>
      </c>
      <c r="D766" s="4">
        <v>24</v>
      </c>
      <c r="E766" s="4">
        <v>2</v>
      </c>
    </row>
    <row r="767" spans="1:5" ht="409.5" x14ac:dyDescent="0.25">
      <c r="A767" s="4">
        <f t="shared" si="12"/>
        <v>766</v>
      </c>
      <c r="B767" s="4" t="s">
        <v>1483</v>
      </c>
      <c r="C767" s="5" t="s">
        <v>858</v>
      </c>
      <c r="D767" s="4">
        <v>24</v>
      </c>
      <c r="E767" s="4">
        <v>2</v>
      </c>
    </row>
    <row r="768" spans="1:5" ht="157.5" x14ac:dyDescent="0.25">
      <c r="A768" s="4">
        <f t="shared" si="12"/>
        <v>767</v>
      </c>
      <c r="B768" s="4" t="s">
        <v>859</v>
      </c>
      <c r="C768" s="5" t="s">
        <v>860</v>
      </c>
      <c r="D768" s="4">
        <v>24</v>
      </c>
      <c r="E768" s="4">
        <v>2</v>
      </c>
    </row>
    <row r="769" spans="1:5" ht="299.25" x14ac:dyDescent="0.25">
      <c r="A769" s="4">
        <f t="shared" si="12"/>
        <v>768</v>
      </c>
      <c r="B769" s="4" t="s">
        <v>1484</v>
      </c>
      <c r="C769" s="5" t="s">
        <v>1240</v>
      </c>
      <c r="D769" s="4">
        <v>24</v>
      </c>
      <c r="E769" s="4">
        <v>2</v>
      </c>
    </row>
    <row r="770" spans="1:5" ht="126" x14ac:dyDescent="0.25">
      <c r="A770" s="4">
        <f>ROW()-1</f>
        <v>769</v>
      </c>
      <c r="B770" s="4" t="s">
        <v>1239</v>
      </c>
      <c r="C770" s="5" t="s">
        <v>1486</v>
      </c>
      <c r="D770" s="4">
        <v>24</v>
      </c>
      <c r="E770" s="4">
        <v>1</v>
      </c>
    </row>
    <row r="771" spans="1:5" ht="409.5" x14ac:dyDescent="0.25">
      <c r="A771" s="4">
        <f t="shared" si="12"/>
        <v>770</v>
      </c>
      <c r="B771" s="4" t="s">
        <v>1485</v>
      </c>
      <c r="C771" s="5" t="s">
        <v>861</v>
      </c>
      <c r="D771" s="4">
        <v>24</v>
      </c>
      <c r="E771" s="4">
        <v>2</v>
      </c>
    </row>
    <row r="772" spans="1:5" ht="189" x14ac:dyDescent="0.25">
      <c r="A772" s="4">
        <f t="shared" si="12"/>
        <v>771</v>
      </c>
      <c r="B772" s="4" t="s">
        <v>862</v>
      </c>
      <c r="C772" s="5" t="s">
        <v>1241</v>
      </c>
      <c r="D772" s="4">
        <v>24</v>
      </c>
      <c r="E772" s="4">
        <v>2</v>
      </c>
    </row>
    <row r="773" spans="1:5" ht="315" x14ac:dyDescent="0.25">
      <c r="A773" s="4">
        <f t="shared" si="12"/>
        <v>772</v>
      </c>
      <c r="B773" s="4" t="s">
        <v>863</v>
      </c>
      <c r="C773" s="5" t="s">
        <v>864</v>
      </c>
      <c r="D773" s="4">
        <v>24</v>
      </c>
      <c r="E773" s="4">
        <v>2</v>
      </c>
    </row>
    <row r="774" spans="1:5" ht="31.5" x14ac:dyDescent="0.25">
      <c r="A774" s="4">
        <f t="shared" si="12"/>
        <v>773</v>
      </c>
      <c r="B774" s="4" t="s">
        <v>865</v>
      </c>
      <c r="C774" s="5" t="s">
        <v>866</v>
      </c>
      <c r="D774" s="4">
        <v>24</v>
      </c>
      <c r="E774" s="4">
        <v>3</v>
      </c>
    </row>
    <row r="775" spans="1:5" ht="409.5" x14ac:dyDescent="0.25">
      <c r="A775" s="4">
        <f t="shared" si="12"/>
        <v>774</v>
      </c>
      <c r="B775" s="4" t="s">
        <v>1457</v>
      </c>
      <c r="C775" s="5" t="s">
        <v>867</v>
      </c>
      <c r="D775" s="4">
        <v>20</v>
      </c>
      <c r="E775" s="4">
        <v>2</v>
      </c>
    </row>
    <row r="776" spans="1:5" ht="346.5" x14ac:dyDescent="0.25">
      <c r="A776" s="4">
        <f t="shared" si="12"/>
        <v>775</v>
      </c>
      <c r="B776" s="4" t="s">
        <v>1458</v>
      </c>
      <c r="C776" s="5" t="s">
        <v>868</v>
      </c>
      <c r="D776" s="4">
        <v>20</v>
      </c>
      <c r="E776" s="4">
        <v>2</v>
      </c>
    </row>
    <row r="777" spans="1:5" ht="94.5" x14ac:dyDescent="0.25">
      <c r="A777" s="4">
        <f t="shared" si="12"/>
        <v>776</v>
      </c>
      <c r="B777" s="4" t="s">
        <v>1459</v>
      </c>
      <c r="C777" s="5" t="s">
        <v>869</v>
      </c>
      <c r="D777" s="4">
        <v>20</v>
      </c>
      <c r="E777" s="4">
        <v>2</v>
      </c>
    </row>
    <row r="778" spans="1:5" ht="78.75" x14ac:dyDescent="0.25">
      <c r="A778" s="4">
        <f t="shared" si="12"/>
        <v>777</v>
      </c>
      <c r="B778" s="4" t="s">
        <v>1460</v>
      </c>
      <c r="C778" s="5" t="s">
        <v>870</v>
      </c>
      <c r="D778" s="4">
        <v>20</v>
      </c>
      <c r="E778" s="4">
        <v>2</v>
      </c>
    </row>
    <row r="779" spans="1:5" ht="378" x14ac:dyDescent="0.25">
      <c r="A779" s="4">
        <f t="shared" si="12"/>
        <v>778</v>
      </c>
      <c r="B779" s="4" t="s">
        <v>1461</v>
      </c>
      <c r="C779" s="5" t="s">
        <v>871</v>
      </c>
      <c r="D779" s="4">
        <v>20</v>
      </c>
      <c r="E779" s="4">
        <v>2</v>
      </c>
    </row>
    <row r="780" spans="1:5" ht="189" x14ac:dyDescent="0.25">
      <c r="A780" s="4">
        <f t="shared" si="12"/>
        <v>779</v>
      </c>
      <c r="B780" s="4" t="s">
        <v>1462</v>
      </c>
      <c r="C780" s="5" t="s">
        <v>872</v>
      </c>
      <c r="D780" s="4">
        <v>20</v>
      </c>
      <c r="E780" s="4">
        <v>1</v>
      </c>
    </row>
    <row r="781" spans="1:5" ht="126" x14ac:dyDescent="0.25">
      <c r="A781" s="4">
        <f t="shared" si="12"/>
        <v>780</v>
      </c>
      <c r="B781" s="4" t="s">
        <v>1463</v>
      </c>
      <c r="C781" s="5" t="s">
        <v>873</v>
      </c>
      <c r="D781" s="4">
        <v>20</v>
      </c>
      <c r="E781" s="4">
        <v>2</v>
      </c>
    </row>
    <row r="782" spans="1:5" ht="157.5" x14ac:dyDescent="0.25">
      <c r="A782" s="4">
        <f t="shared" si="12"/>
        <v>781</v>
      </c>
      <c r="B782" s="4" t="s">
        <v>1464</v>
      </c>
      <c r="C782" s="5" t="s">
        <v>874</v>
      </c>
      <c r="D782" s="4">
        <v>20</v>
      </c>
      <c r="E782" s="4">
        <v>1</v>
      </c>
    </row>
    <row r="783" spans="1:5" ht="283.5" x14ac:dyDescent="0.25">
      <c r="A783" s="4">
        <f t="shared" si="12"/>
        <v>782</v>
      </c>
      <c r="B783" s="4" t="s">
        <v>1465</v>
      </c>
      <c r="C783" s="5" t="s">
        <v>1584</v>
      </c>
      <c r="D783" s="4">
        <v>20</v>
      </c>
      <c r="E783" s="4">
        <v>1</v>
      </c>
    </row>
    <row r="784" spans="1:5" ht="141.75" x14ac:dyDescent="0.25">
      <c r="A784" s="4">
        <f t="shared" si="12"/>
        <v>783</v>
      </c>
      <c r="B784" s="4" t="s">
        <v>875</v>
      </c>
      <c r="C784" s="5" t="s">
        <v>876</v>
      </c>
      <c r="D784" s="4">
        <v>20</v>
      </c>
      <c r="E784" s="4">
        <v>2</v>
      </c>
    </row>
    <row r="785" spans="1:5" ht="173.25" x14ac:dyDescent="0.25">
      <c r="A785" s="4">
        <f t="shared" si="12"/>
        <v>784</v>
      </c>
      <c r="B785" s="4" t="s">
        <v>877</v>
      </c>
      <c r="C785" s="5" t="s">
        <v>878</v>
      </c>
      <c r="D785" s="4">
        <v>20</v>
      </c>
      <c r="E785" s="4">
        <v>2</v>
      </c>
    </row>
    <row r="786" spans="1:5" ht="63" x14ac:dyDescent="0.25">
      <c r="A786" s="4">
        <f t="shared" si="12"/>
        <v>785</v>
      </c>
      <c r="B786" s="4" t="s">
        <v>879</v>
      </c>
      <c r="C786" s="5" t="s">
        <v>1585</v>
      </c>
      <c r="D786" s="4">
        <v>20</v>
      </c>
      <c r="E786" s="4">
        <v>1</v>
      </c>
    </row>
    <row r="787" spans="1:5" ht="141.75" x14ac:dyDescent="0.25">
      <c r="A787" s="4">
        <f t="shared" si="12"/>
        <v>786</v>
      </c>
      <c r="B787" s="4" t="s">
        <v>1466</v>
      </c>
      <c r="C787" s="5" t="s">
        <v>880</v>
      </c>
      <c r="D787" s="4">
        <v>20</v>
      </c>
      <c r="E787" s="4">
        <v>2</v>
      </c>
    </row>
    <row r="788" spans="1:5" ht="110.25" x14ac:dyDescent="0.25">
      <c r="A788" s="4">
        <f t="shared" si="12"/>
        <v>787</v>
      </c>
      <c r="B788" s="4" t="s">
        <v>1467</v>
      </c>
      <c r="C788" s="5" t="s">
        <v>881</v>
      </c>
      <c r="D788" s="4">
        <v>20</v>
      </c>
      <c r="E788" s="4">
        <v>2</v>
      </c>
    </row>
    <row r="789" spans="1:5" ht="409.5" x14ac:dyDescent="0.25">
      <c r="A789" s="4">
        <f t="shared" si="12"/>
        <v>788</v>
      </c>
      <c r="B789" s="4" t="s">
        <v>882</v>
      </c>
      <c r="C789" s="5" t="s">
        <v>883</v>
      </c>
      <c r="D789" s="4">
        <v>20</v>
      </c>
      <c r="E789" s="4">
        <v>2</v>
      </c>
    </row>
    <row r="790" spans="1:5" ht="157.5" x14ac:dyDescent="0.25">
      <c r="A790" s="4">
        <f t="shared" si="12"/>
        <v>789</v>
      </c>
      <c r="B790" s="4" t="s">
        <v>884</v>
      </c>
      <c r="C790" s="5" t="s">
        <v>885</v>
      </c>
      <c r="D790" s="4">
        <v>20</v>
      </c>
      <c r="E790" s="4">
        <v>2</v>
      </c>
    </row>
    <row r="791" spans="1:5" ht="173.25" x14ac:dyDescent="0.25">
      <c r="A791" s="4">
        <f t="shared" si="12"/>
        <v>790</v>
      </c>
      <c r="B791" s="4" t="s">
        <v>1480</v>
      </c>
      <c r="C791" s="5" t="s">
        <v>886</v>
      </c>
      <c r="D791" s="4">
        <v>23</v>
      </c>
      <c r="E791" s="4">
        <v>3</v>
      </c>
    </row>
    <row r="792" spans="1:5" ht="267.75" x14ac:dyDescent="0.25">
      <c r="A792" s="4">
        <f t="shared" si="12"/>
        <v>791</v>
      </c>
      <c r="B792" s="4" t="s">
        <v>1468</v>
      </c>
      <c r="C792" s="5" t="s">
        <v>887</v>
      </c>
      <c r="D792" s="4">
        <v>23</v>
      </c>
      <c r="E792" s="4">
        <v>2</v>
      </c>
    </row>
    <row r="793" spans="1:5" ht="409.5" x14ac:dyDescent="0.25">
      <c r="A793" s="4">
        <f t="shared" si="12"/>
        <v>792</v>
      </c>
      <c r="B793" s="4" t="s">
        <v>1469</v>
      </c>
      <c r="C793" s="5" t="s">
        <v>888</v>
      </c>
      <c r="D793" s="4">
        <v>23</v>
      </c>
      <c r="E793" s="4">
        <v>2</v>
      </c>
    </row>
    <row r="794" spans="1:5" ht="110.25" x14ac:dyDescent="0.25">
      <c r="A794" s="4">
        <f t="shared" si="12"/>
        <v>793</v>
      </c>
      <c r="B794" s="4" t="s">
        <v>1470</v>
      </c>
      <c r="C794" s="5" t="s">
        <v>889</v>
      </c>
      <c r="D794" s="4">
        <v>23</v>
      </c>
      <c r="E794" s="4">
        <v>2</v>
      </c>
    </row>
    <row r="795" spans="1:5" ht="126" x14ac:dyDescent="0.25">
      <c r="A795" s="4">
        <f t="shared" si="12"/>
        <v>794</v>
      </c>
      <c r="B795" s="4" t="s">
        <v>693</v>
      </c>
      <c r="C795" s="5" t="s">
        <v>890</v>
      </c>
      <c r="D795" s="4">
        <v>23</v>
      </c>
      <c r="E795" s="4">
        <v>2</v>
      </c>
    </row>
    <row r="796" spans="1:5" ht="409.5" x14ac:dyDescent="0.25">
      <c r="A796" s="4">
        <f t="shared" si="12"/>
        <v>795</v>
      </c>
      <c r="B796" s="4" t="s">
        <v>1471</v>
      </c>
      <c r="C796" s="5" t="s">
        <v>1098</v>
      </c>
      <c r="D796" s="4">
        <v>23</v>
      </c>
      <c r="E796" s="4">
        <v>2</v>
      </c>
    </row>
    <row r="797" spans="1:5" ht="378" x14ac:dyDescent="0.25">
      <c r="A797" s="4">
        <f t="shared" si="12"/>
        <v>796</v>
      </c>
      <c r="B797" s="4" t="s">
        <v>1472</v>
      </c>
      <c r="C797" s="5" t="s">
        <v>891</v>
      </c>
      <c r="D797" s="4">
        <v>23</v>
      </c>
      <c r="E797" s="4">
        <v>2</v>
      </c>
    </row>
    <row r="798" spans="1:5" ht="141.75" x14ac:dyDescent="0.25">
      <c r="A798" s="4">
        <f t="shared" si="12"/>
        <v>797</v>
      </c>
      <c r="B798" s="4" t="s">
        <v>1473</v>
      </c>
      <c r="C798" s="5" t="s">
        <v>892</v>
      </c>
      <c r="D798" s="4">
        <v>23</v>
      </c>
      <c r="E798" s="4">
        <v>2</v>
      </c>
    </row>
    <row r="799" spans="1:5" ht="141.75" x14ac:dyDescent="0.25">
      <c r="A799" s="4">
        <f t="shared" si="12"/>
        <v>798</v>
      </c>
      <c r="B799" s="4" t="s">
        <v>893</v>
      </c>
      <c r="C799" s="5" t="s">
        <v>894</v>
      </c>
      <c r="D799" s="4">
        <v>23</v>
      </c>
      <c r="E799" s="4">
        <v>2</v>
      </c>
    </row>
    <row r="800" spans="1:5" ht="94.5" x14ac:dyDescent="0.25">
      <c r="A800" s="4">
        <f t="shared" si="12"/>
        <v>799</v>
      </c>
      <c r="B800" s="4" t="s">
        <v>1474</v>
      </c>
      <c r="C800" s="5" t="s">
        <v>895</v>
      </c>
      <c r="D800" s="4">
        <v>23</v>
      </c>
      <c r="E800" s="4">
        <v>2</v>
      </c>
    </row>
    <row r="801" spans="1:5" ht="126" x14ac:dyDescent="0.25">
      <c r="A801" s="4">
        <f t="shared" ref="A801:A828" si="13">ROW()-1</f>
        <v>800</v>
      </c>
      <c r="B801" s="4" t="s">
        <v>1475</v>
      </c>
      <c r="C801" s="5" t="s">
        <v>896</v>
      </c>
      <c r="D801" s="4">
        <v>23</v>
      </c>
      <c r="E801" s="4">
        <v>2</v>
      </c>
    </row>
    <row r="802" spans="1:5" ht="78.75" x14ac:dyDescent="0.25">
      <c r="A802" s="4">
        <f t="shared" si="13"/>
        <v>801</v>
      </c>
      <c r="B802" s="4" t="s">
        <v>1476</v>
      </c>
      <c r="C802" s="5" t="s">
        <v>897</v>
      </c>
      <c r="D802" s="4">
        <v>23</v>
      </c>
      <c r="E802" s="4">
        <v>2</v>
      </c>
    </row>
    <row r="803" spans="1:5" ht="31.5" x14ac:dyDescent="0.25">
      <c r="A803" s="4">
        <f t="shared" si="13"/>
        <v>802</v>
      </c>
      <c r="B803" s="4" t="s">
        <v>701</v>
      </c>
      <c r="C803" s="5" t="s">
        <v>898</v>
      </c>
      <c r="D803" s="4">
        <v>23</v>
      </c>
      <c r="E803" s="4">
        <v>4</v>
      </c>
    </row>
    <row r="804" spans="1:5" ht="94.5" x14ac:dyDescent="0.25">
      <c r="A804" s="4">
        <f t="shared" si="13"/>
        <v>803</v>
      </c>
      <c r="B804" s="4" t="s">
        <v>1477</v>
      </c>
      <c r="C804" s="5" t="s">
        <v>899</v>
      </c>
      <c r="D804" s="4">
        <v>23</v>
      </c>
      <c r="E804" s="4">
        <v>2</v>
      </c>
    </row>
    <row r="805" spans="1:5" ht="94.5" x14ac:dyDescent="0.25">
      <c r="A805" s="4">
        <f t="shared" si="13"/>
        <v>804</v>
      </c>
      <c r="B805" s="4" t="s">
        <v>1478</v>
      </c>
      <c r="C805" s="5" t="s">
        <v>900</v>
      </c>
      <c r="D805" s="4">
        <v>23</v>
      </c>
      <c r="E805" s="4">
        <v>2</v>
      </c>
    </row>
    <row r="806" spans="1:5" ht="409.5" x14ac:dyDescent="0.25">
      <c r="A806" s="4">
        <f t="shared" si="13"/>
        <v>805</v>
      </c>
      <c r="B806" s="4" t="s">
        <v>1479</v>
      </c>
      <c r="C806" s="5" t="s">
        <v>1099</v>
      </c>
      <c r="D806" s="4">
        <v>23</v>
      </c>
      <c r="E806" s="4">
        <v>2</v>
      </c>
    </row>
    <row r="807" spans="1:5" ht="141.75" x14ac:dyDescent="0.25">
      <c r="A807" s="4">
        <f t="shared" si="13"/>
        <v>806</v>
      </c>
      <c r="B807" s="4" t="s">
        <v>901</v>
      </c>
      <c r="C807" s="5" t="s">
        <v>902</v>
      </c>
      <c r="D807" s="4">
        <v>23</v>
      </c>
      <c r="E807" s="4">
        <v>1</v>
      </c>
    </row>
    <row r="808" spans="1:5" ht="141.75" x14ac:dyDescent="0.25">
      <c r="A808" s="4">
        <f t="shared" si="13"/>
        <v>807</v>
      </c>
      <c r="B808" s="4" t="s">
        <v>903</v>
      </c>
      <c r="C808" s="5" t="s">
        <v>904</v>
      </c>
      <c r="D808" s="4">
        <v>23</v>
      </c>
      <c r="E808" s="4">
        <v>2</v>
      </c>
    </row>
    <row r="809" spans="1:5" ht="173.25" x14ac:dyDescent="0.25">
      <c r="A809" s="4">
        <f t="shared" si="13"/>
        <v>808</v>
      </c>
      <c r="B809" s="4" t="s">
        <v>1487</v>
      </c>
      <c r="C809" s="5" t="s">
        <v>905</v>
      </c>
      <c r="D809" s="4">
        <v>25</v>
      </c>
      <c r="E809" s="4">
        <v>2</v>
      </c>
    </row>
    <row r="810" spans="1:5" ht="346.5" x14ac:dyDescent="0.25">
      <c r="A810" s="4">
        <f t="shared" si="13"/>
        <v>809</v>
      </c>
      <c r="B810" s="4" t="s">
        <v>1488</v>
      </c>
      <c r="C810" s="5" t="s">
        <v>906</v>
      </c>
      <c r="D810" s="4">
        <v>25</v>
      </c>
      <c r="E810" s="4">
        <v>2</v>
      </c>
    </row>
    <row r="811" spans="1:5" ht="78.75" x14ac:dyDescent="0.25">
      <c r="A811" s="4">
        <f t="shared" si="13"/>
        <v>810</v>
      </c>
      <c r="B811" s="4" t="s">
        <v>1489</v>
      </c>
      <c r="C811" s="5" t="s">
        <v>1504</v>
      </c>
      <c r="D811" s="4">
        <v>25</v>
      </c>
      <c r="E811" s="4">
        <v>4</v>
      </c>
    </row>
    <row r="812" spans="1:5" ht="157.5" x14ac:dyDescent="0.25">
      <c r="A812" s="4">
        <f t="shared" si="13"/>
        <v>811</v>
      </c>
      <c r="B812" s="4" t="s">
        <v>1490</v>
      </c>
      <c r="C812" s="5" t="s">
        <v>907</v>
      </c>
      <c r="D812" s="4">
        <v>25</v>
      </c>
      <c r="E812" s="4">
        <v>3</v>
      </c>
    </row>
    <row r="813" spans="1:5" ht="409.5" x14ac:dyDescent="0.25">
      <c r="A813" s="4">
        <f t="shared" si="13"/>
        <v>812</v>
      </c>
      <c r="B813" s="4" t="s">
        <v>1491</v>
      </c>
      <c r="C813" s="5" t="s">
        <v>1100</v>
      </c>
      <c r="D813" s="4">
        <v>25</v>
      </c>
      <c r="E813" s="4">
        <v>2</v>
      </c>
    </row>
    <row r="814" spans="1:5" ht="236.25" x14ac:dyDescent="0.25">
      <c r="A814" s="4">
        <f t="shared" si="13"/>
        <v>813</v>
      </c>
      <c r="B814" s="4" t="s">
        <v>1492</v>
      </c>
      <c r="C814" s="5" t="s">
        <v>908</v>
      </c>
      <c r="D814" s="4">
        <v>25</v>
      </c>
      <c r="E814" s="4">
        <v>2</v>
      </c>
    </row>
    <row r="815" spans="1:5" ht="126" x14ac:dyDescent="0.25">
      <c r="A815" s="4">
        <f t="shared" si="13"/>
        <v>814</v>
      </c>
      <c r="B815" s="4" t="s">
        <v>708</v>
      </c>
      <c r="C815" s="5" t="s">
        <v>909</v>
      </c>
      <c r="D815" s="4">
        <v>25</v>
      </c>
      <c r="E815" s="4">
        <v>2</v>
      </c>
    </row>
    <row r="816" spans="1:5" ht="157.5" x14ac:dyDescent="0.25">
      <c r="A816" s="4">
        <f t="shared" si="13"/>
        <v>815</v>
      </c>
      <c r="B816" s="4" t="s">
        <v>1493</v>
      </c>
      <c r="C816" s="5" t="s">
        <v>910</v>
      </c>
      <c r="D816" s="4">
        <v>25</v>
      </c>
      <c r="E816" s="4">
        <v>2</v>
      </c>
    </row>
    <row r="817" spans="1:5" ht="283.5" x14ac:dyDescent="0.25">
      <c r="A817" s="4">
        <f t="shared" si="13"/>
        <v>816</v>
      </c>
      <c r="B817" s="4" t="s">
        <v>1494</v>
      </c>
      <c r="C817" s="5" t="s">
        <v>911</v>
      </c>
      <c r="D817" s="4">
        <v>25</v>
      </c>
      <c r="E817" s="4">
        <v>2</v>
      </c>
    </row>
    <row r="818" spans="1:5" ht="141.75" x14ac:dyDescent="0.25">
      <c r="A818" s="4">
        <f t="shared" si="13"/>
        <v>817</v>
      </c>
      <c r="B818" s="4" t="s">
        <v>1495</v>
      </c>
      <c r="C818" s="5" t="s">
        <v>912</v>
      </c>
      <c r="D818" s="4">
        <v>25</v>
      </c>
      <c r="E818" s="4">
        <v>2</v>
      </c>
    </row>
    <row r="819" spans="1:5" ht="126" x14ac:dyDescent="0.25">
      <c r="A819" s="4">
        <f t="shared" si="13"/>
        <v>818</v>
      </c>
      <c r="B819" s="4" t="s">
        <v>913</v>
      </c>
      <c r="C819" s="5" t="s">
        <v>914</v>
      </c>
      <c r="D819" s="4">
        <v>25</v>
      </c>
      <c r="E819" s="4">
        <v>2</v>
      </c>
    </row>
    <row r="820" spans="1:5" ht="94.5" x14ac:dyDescent="0.25">
      <c r="A820" s="4">
        <f t="shared" si="13"/>
        <v>819</v>
      </c>
      <c r="B820" s="4" t="s">
        <v>1496</v>
      </c>
      <c r="C820" s="5" t="s">
        <v>915</v>
      </c>
      <c r="D820" s="4">
        <v>25</v>
      </c>
      <c r="E820" s="4">
        <v>2</v>
      </c>
    </row>
    <row r="821" spans="1:5" ht="47.25" x14ac:dyDescent="0.25">
      <c r="A821" s="4">
        <f t="shared" si="13"/>
        <v>820</v>
      </c>
      <c r="B821" s="4" t="s">
        <v>1497</v>
      </c>
      <c r="C821" s="5" t="s">
        <v>1505</v>
      </c>
      <c r="D821" s="4">
        <v>25</v>
      </c>
      <c r="E821" s="4">
        <v>4</v>
      </c>
    </row>
    <row r="822" spans="1:5" ht="220.5" x14ac:dyDescent="0.25">
      <c r="A822" s="4">
        <f t="shared" si="13"/>
        <v>821</v>
      </c>
      <c r="B822" s="4" t="s">
        <v>1498</v>
      </c>
      <c r="C822" s="5" t="s">
        <v>916</v>
      </c>
      <c r="D822" s="4">
        <v>25</v>
      </c>
      <c r="E822" s="4">
        <v>2</v>
      </c>
    </row>
    <row r="823" spans="1:5" ht="63" x14ac:dyDescent="0.25">
      <c r="A823" s="4">
        <f t="shared" si="13"/>
        <v>822</v>
      </c>
      <c r="B823" s="4" t="s">
        <v>1499</v>
      </c>
      <c r="C823" s="5" t="s">
        <v>917</v>
      </c>
      <c r="D823" s="4">
        <v>25</v>
      </c>
      <c r="E823" s="4">
        <v>2</v>
      </c>
    </row>
    <row r="824" spans="1:5" ht="110.25" x14ac:dyDescent="0.25">
      <c r="A824" s="4">
        <f t="shared" si="13"/>
        <v>823</v>
      </c>
      <c r="B824" s="4" t="s">
        <v>1500</v>
      </c>
      <c r="C824" s="5" t="s">
        <v>918</v>
      </c>
      <c r="D824" s="4">
        <v>25</v>
      </c>
      <c r="E824" s="4">
        <v>2</v>
      </c>
    </row>
    <row r="825" spans="1:5" ht="110.25" x14ac:dyDescent="0.25">
      <c r="A825" s="4">
        <f t="shared" si="13"/>
        <v>824</v>
      </c>
      <c r="B825" s="4" t="s">
        <v>1501</v>
      </c>
      <c r="C825" s="5" t="s">
        <v>919</v>
      </c>
      <c r="D825" s="4">
        <v>25</v>
      </c>
      <c r="E825" s="4">
        <v>2</v>
      </c>
    </row>
    <row r="826" spans="1:5" ht="126" x14ac:dyDescent="0.25">
      <c r="A826" s="4">
        <f t="shared" si="13"/>
        <v>825</v>
      </c>
      <c r="B826" s="4" t="s">
        <v>1502</v>
      </c>
      <c r="C826" s="5" t="s">
        <v>920</v>
      </c>
      <c r="D826" s="4">
        <v>25</v>
      </c>
      <c r="E826" s="4">
        <v>2</v>
      </c>
    </row>
    <row r="827" spans="1:5" ht="252" x14ac:dyDescent="0.25">
      <c r="A827" s="4">
        <f t="shared" si="13"/>
        <v>826</v>
      </c>
      <c r="B827" s="4" t="s">
        <v>1503</v>
      </c>
      <c r="C827" s="5" t="s">
        <v>921</v>
      </c>
      <c r="D827" s="4">
        <v>25</v>
      </c>
      <c r="E827" s="4">
        <v>2</v>
      </c>
    </row>
    <row r="828" spans="1:5" ht="126" x14ac:dyDescent="0.25">
      <c r="A828" s="4">
        <f t="shared" si="13"/>
        <v>827</v>
      </c>
      <c r="B828" s="4" t="s">
        <v>922</v>
      </c>
      <c r="C828" s="5" t="s">
        <v>923</v>
      </c>
      <c r="D828" s="4">
        <v>25</v>
      </c>
      <c r="E828" s="4">
        <v>2</v>
      </c>
    </row>
  </sheetData>
  <phoneticPr fontId="18"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21F22-F924-7341-BB66-41872FA36323}">
  <dimension ref="A1:E36"/>
  <sheetViews>
    <sheetView workbookViewId="0">
      <selection activeCell="B6" sqref="B6"/>
    </sheetView>
  </sheetViews>
  <sheetFormatPr defaultColWidth="11" defaultRowHeight="15.75" x14ac:dyDescent="0.25"/>
  <cols>
    <col min="2" max="2" width="14.875" customWidth="1"/>
    <col min="3" max="3" width="14.125" customWidth="1"/>
    <col min="4" max="4" width="13.125" customWidth="1"/>
    <col min="5" max="5" width="124.875" customWidth="1"/>
  </cols>
  <sheetData>
    <row r="1" spans="1:5" x14ac:dyDescent="0.25">
      <c r="A1" s="2" t="s">
        <v>0</v>
      </c>
      <c r="B1" s="2" t="s">
        <v>924</v>
      </c>
      <c r="C1" s="2" t="s">
        <v>925</v>
      </c>
      <c r="D1" s="2" t="s">
        <v>926</v>
      </c>
      <c r="E1" s="2" t="s">
        <v>927</v>
      </c>
    </row>
    <row r="2" spans="1:5" x14ac:dyDescent="0.25">
      <c r="A2" s="2">
        <v>1</v>
      </c>
      <c r="B2" s="2" t="s">
        <v>928</v>
      </c>
      <c r="C2" s="2" t="s">
        <v>929</v>
      </c>
      <c r="D2" s="2" t="s">
        <v>930</v>
      </c>
      <c r="E2" s="2" t="s">
        <v>931</v>
      </c>
    </row>
    <row r="3" spans="1:5" x14ac:dyDescent="0.25">
      <c r="A3" s="2">
        <v>2</v>
      </c>
      <c r="B3" s="2" t="s">
        <v>928</v>
      </c>
      <c r="C3" s="2" t="s">
        <v>932</v>
      </c>
      <c r="D3" s="2" t="s">
        <v>933</v>
      </c>
      <c r="E3" s="2" t="s">
        <v>934</v>
      </c>
    </row>
    <row r="4" spans="1:5" x14ac:dyDescent="0.25">
      <c r="A4" s="2">
        <v>3</v>
      </c>
      <c r="B4" s="2" t="s">
        <v>935</v>
      </c>
      <c r="C4" s="2" t="s">
        <v>929</v>
      </c>
      <c r="D4" s="2" t="s">
        <v>936</v>
      </c>
      <c r="E4" s="2" t="s">
        <v>937</v>
      </c>
    </row>
    <row r="5" spans="1:5" x14ac:dyDescent="0.25">
      <c r="A5" s="2">
        <v>4</v>
      </c>
      <c r="B5" s="2" t="s">
        <v>935</v>
      </c>
      <c r="C5" s="2" t="s">
        <v>932</v>
      </c>
      <c r="D5" s="2" t="s">
        <v>938</v>
      </c>
      <c r="E5" s="2" t="s">
        <v>939</v>
      </c>
    </row>
    <row r="6" spans="1:5" x14ac:dyDescent="0.25">
      <c r="A6" s="2">
        <v>5</v>
      </c>
      <c r="B6" s="2" t="s">
        <v>935</v>
      </c>
      <c r="C6" s="2" t="s">
        <v>940</v>
      </c>
      <c r="D6" s="2" t="s">
        <v>941</v>
      </c>
      <c r="E6" s="2" t="s">
        <v>942</v>
      </c>
    </row>
    <row r="7" spans="1:5" x14ac:dyDescent="0.25">
      <c r="A7" s="2">
        <v>6</v>
      </c>
      <c r="B7" s="2" t="s">
        <v>943</v>
      </c>
      <c r="C7" s="2" t="s">
        <v>944</v>
      </c>
      <c r="D7" s="2" t="s">
        <v>945</v>
      </c>
      <c r="E7" s="2" t="s">
        <v>946</v>
      </c>
    </row>
    <row r="8" spans="1:5" x14ac:dyDescent="0.25">
      <c r="A8" s="2">
        <v>7</v>
      </c>
      <c r="B8" s="2">
        <v>4351</v>
      </c>
      <c r="C8" s="2" t="s">
        <v>929</v>
      </c>
      <c r="D8" s="2" t="s">
        <v>947</v>
      </c>
      <c r="E8" s="2" t="s">
        <v>948</v>
      </c>
    </row>
    <row r="9" spans="1:5" x14ac:dyDescent="0.25">
      <c r="A9" s="2">
        <v>8</v>
      </c>
      <c r="B9" s="2" t="s">
        <v>949</v>
      </c>
      <c r="C9" s="2" t="s">
        <v>929</v>
      </c>
      <c r="D9" s="2" t="s">
        <v>950</v>
      </c>
      <c r="E9" s="2" t="s">
        <v>951</v>
      </c>
    </row>
    <row r="10" spans="1:5" x14ac:dyDescent="0.25">
      <c r="A10" s="2">
        <v>9</v>
      </c>
      <c r="B10" s="2" t="s">
        <v>952</v>
      </c>
      <c r="C10" s="2" t="s">
        <v>929</v>
      </c>
      <c r="D10" s="2" t="s">
        <v>953</v>
      </c>
      <c r="E10" s="2" t="s">
        <v>954</v>
      </c>
    </row>
    <row r="11" spans="1:5" x14ac:dyDescent="0.25">
      <c r="A11" s="2">
        <v>10</v>
      </c>
      <c r="B11" s="2" t="s">
        <v>952</v>
      </c>
      <c r="C11" s="2" t="s">
        <v>955</v>
      </c>
      <c r="D11" s="2" t="s">
        <v>956</v>
      </c>
      <c r="E11" s="2" t="s">
        <v>957</v>
      </c>
    </row>
    <row r="12" spans="1:5" x14ac:dyDescent="0.25">
      <c r="A12" s="2">
        <v>11</v>
      </c>
      <c r="B12" s="2" t="s">
        <v>952</v>
      </c>
      <c r="C12" s="2" t="s">
        <v>958</v>
      </c>
      <c r="D12" s="2" t="s">
        <v>959</v>
      </c>
      <c r="E12" s="2" t="s">
        <v>960</v>
      </c>
    </row>
    <row r="13" spans="1:5" x14ac:dyDescent="0.25">
      <c r="A13" s="2">
        <v>12</v>
      </c>
      <c r="B13" s="2" t="s">
        <v>952</v>
      </c>
      <c r="C13" s="2" t="s">
        <v>961</v>
      </c>
      <c r="D13" s="2" t="s">
        <v>962</v>
      </c>
      <c r="E13" s="2" t="s">
        <v>963</v>
      </c>
    </row>
    <row r="14" spans="1:5" x14ac:dyDescent="0.25">
      <c r="A14" s="2">
        <v>13</v>
      </c>
      <c r="B14" s="2" t="s">
        <v>964</v>
      </c>
      <c r="C14" s="2" t="s">
        <v>929</v>
      </c>
      <c r="D14" s="2" t="s">
        <v>965</v>
      </c>
      <c r="E14" s="2" t="s">
        <v>966</v>
      </c>
    </row>
    <row r="15" spans="1:5" x14ac:dyDescent="0.25">
      <c r="A15" s="2">
        <v>14</v>
      </c>
      <c r="B15" s="2" t="s">
        <v>967</v>
      </c>
      <c r="C15" s="2" t="s">
        <v>929</v>
      </c>
      <c r="D15" s="2" t="s">
        <v>968</v>
      </c>
      <c r="E15" s="2" t="s">
        <v>969</v>
      </c>
    </row>
    <row r="16" spans="1:5" x14ac:dyDescent="0.25">
      <c r="A16" s="2">
        <v>15</v>
      </c>
      <c r="B16" s="2" t="s">
        <v>970</v>
      </c>
      <c r="C16" s="2" t="s">
        <v>929</v>
      </c>
      <c r="D16" s="2" t="s">
        <v>971</v>
      </c>
      <c r="E16" s="2" t="s">
        <v>969</v>
      </c>
    </row>
    <row r="17" spans="1:5" x14ac:dyDescent="0.25">
      <c r="A17" s="2">
        <v>16</v>
      </c>
      <c r="B17" s="2" t="s">
        <v>972</v>
      </c>
      <c r="C17" s="2" t="s">
        <v>929</v>
      </c>
      <c r="D17" s="2" t="s">
        <v>973</v>
      </c>
      <c r="E17" s="2" t="s">
        <v>974</v>
      </c>
    </row>
    <row r="18" spans="1:5" x14ac:dyDescent="0.25">
      <c r="A18" s="2">
        <v>17</v>
      </c>
      <c r="B18" s="2" t="s">
        <v>972</v>
      </c>
      <c r="C18" s="2" t="s">
        <v>932</v>
      </c>
      <c r="D18" s="2" t="s">
        <v>975</v>
      </c>
      <c r="E18" s="2" t="s">
        <v>976</v>
      </c>
    </row>
    <row r="19" spans="1:5" x14ac:dyDescent="0.25">
      <c r="A19" s="2">
        <v>18</v>
      </c>
      <c r="B19" s="2" t="s">
        <v>977</v>
      </c>
      <c r="C19" s="2" t="s">
        <v>929</v>
      </c>
      <c r="D19" s="2" t="s">
        <v>978</v>
      </c>
      <c r="E19" s="2" t="s">
        <v>979</v>
      </c>
    </row>
    <row r="20" spans="1:5" ht="189" x14ac:dyDescent="0.25">
      <c r="A20" s="2">
        <v>19</v>
      </c>
      <c r="B20" s="2" t="s">
        <v>980</v>
      </c>
      <c r="C20" s="2" t="s">
        <v>929</v>
      </c>
      <c r="D20" s="2" t="s">
        <v>981</v>
      </c>
      <c r="E20" s="3" t="s">
        <v>982</v>
      </c>
    </row>
    <row r="21" spans="1:5" ht="189" x14ac:dyDescent="0.25">
      <c r="A21" s="2">
        <v>20</v>
      </c>
      <c r="B21" s="2" t="s">
        <v>980</v>
      </c>
      <c r="C21" s="2" t="s">
        <v>983</v>
      </c>
      <c r="D21" s="2" t="s">
        <v>984</v>
      </c>
      <c r="E21" s="3" t="s">
        <v>985</v>
      </c>
    </row>
    <row r="22" spans="1:5" ht="189" x14ac:dyDescent="0.25">
      <c r="A22" s="2">
        <v>21</v>
      </c>
      <c r="B22" s="2" t="s">
        <v>980</v>
      </c>
      <c r="C22" s="2" t="s">
        <v>986</v>
      </c>
      <c r="D22" s="2" t="s">
        <v>987</v>
      </c>
      <c r="E22" s="3" t="s">
        <v>988</v>
      </c>
    </row>
    <row r="23" spans="1:5" ht="189" x14ac:dyDescent="0.25">
      <c r="A23" s="2">
        <v>22</v>
      </c>
      <c r="B23" s="2" t="s">
        <v>980</v>
      </c>
      <c r="C23" s="2" t="s">
        <v>989</v>
      </c>
      <c r="D23" s="2" t="s">
        <v>990</v>
      </c>
      <c r="E23" s="3" t="s">
        <v>991</v>
      </c>
    </row>
    <row r="24" spans="1:5" ht="189" x14ac:dyDescent="0.25">
      <c r="A24" s="2">
        <v>23</v>
      </c>
      <c r="B24" s="2" t="s">
        <v>980</v>
      </c>
      <c r="C24" s="2" t="s">
        <v>958</v>
      </c>
      <c r="D24" s="2" t="s">
        <v>992</v>
      </c>
      <c r="E24" s="3" t="s">
        <v>993</v>
      </c>
    </row>
    <row r="25" spans="1:5" ht="189" x14ac:dyDescent="0.25">
      <c r="A25" s="2">
        <v>24</v>
      </c>
      <c r="B25" s="2" t="s">
        <v>980</v>
      </c>
      <c r="C25" s="2" t="s">
        <v>940</v>
      </c>
      <c r="D25" s="2" t="s">
        <v>994</v>
      </c>
      <c r="E25" s="3" t="s">
        <v>995</v>
      </c>
    </row>
    <row r="26" spans="1:5" ht="189" x14ac:dyDescent="0.25">
      <c r="A26" s="2">
        <v>25</v>
      </c>
      <c r="B26" s="2" t="s">
        <v>980</v>
      </c>
      <c r="C26" s="2" t="s">
        <v>961</v>
      </c>
      <c r="D26" s="2" t="s">
        <v>996</v>
      </c>
      <c r="E26" s="3" t="s">
        <v>997</v>
      </c>
    </row>
    <row r="27" spans="1:5" x14ac:dyDescent="0.25">
      <c r="A27" s="2">
        <v>26</v>
      </c>
      <c r="B27" s="2" t="s">
        <v>998</v>
      </c>
      <c r="C27" s="2" t="s">
        <v>929</v>
      </c>
      <c r="D27" s="2" t="s">
        <v>999</v>
      </c>
      <c r="E27" s="2" t="s">
        <v>1000</v>
      </c>
    </row>
    <row r="28" spans="1:5" x14ac:dyDescent="0.25">
      <c r="A28" s="2">
        <v>27</v>
      </c>
      <c r="B28" s="2" t="s">
        <v>1001</v>
      </c>
      <c r="C28" s="2" t="s">
        <v>929</v>
      </c>
      <c r="D28" s="2" t="s">
        <v>1002</v>
      </c>
      <c r="E28" s="2" t="s">
        <v>1003</v>
      </c>
    </row>
    <row r="29" spans="1:5" x14ac:dyDescent="0.25">
      <c r="A29" s="2">
        <v>28</v>
      </c>
      <c r="B29" s="2" t="s">
        <v>1001</v>
      </c>
      <c r="C29" s="2" t="s">
        <v>932</v>
      </c>
      <c r="D29" s="2" t="s">
        <v>1004</v>
      </c>
      <c r="E29" s="2" t="s">
        <v>1005</v>
      </c>
    </row>
    <row r="30" spans="1:5" x14ac:dyDescent="0.25">
      <c r="A30" s="2">
        <v>29</v>
      </c>
      <c r="B30" s="2" t="s">
        <v>1001</v>
      </c>
      <c r="C30" s="2" t="s">
        <v>940</v>
      </c>
      <c r="D30" s="2" t="s">
        <v>1006</v>
      </c>
      <c r="E30" s="2" t="s">
        <v>1007</v>
      </c>
    </row>
    <row r="31" spans="1:5" x14ac:dyDescent="0.25">
      <c r="A31" s="2">
        <v>30</v>
      </c>
      <c r="B31" s="2" t="s">
        <v>1008</v>
      </c>
      <c r="C31" s="2" t="s">
        <v>929</v>
      </c>
      <c r="D31" s="2" t="s">
        <v>1009</v>
      </c>
      <c r="E31" s="2" t="s">
        <v>1010</v>
      </c>
    </row>
    <row r="32" spans="1:5" x14ac:dyDescent="0.25">
      <c r="A32" s="2">
        <v>31</v>
      </c>
      <c r="B32" s="2" t="s">
        <v>1011</v>
      </c>
      <c r="C32" s="2" t="s">
        <v>929</v>
      </c>
      <c r="D32" s="2" t="s">
        <v>1012</v>
      </c>
      <c r="E32" s="2" t="s">
        <v>1010</v>
      </c>
    </row>
    <row r="33" spans="1:5" x14ac:dyDescent="0.25">
      <c r="A33" s="2">
        <v>32</v>
      </c>
      <c r="B33" s="2" t="s">
        <v>1013</v>
      </c>
      <c r="C33" s="2" t="s">
        <v>929</v>
      </c>
      <c r="D33" s="2" t="s">
        <v>1014</v>
      </c>
      <c r="E33" s="2" t="s">
        <v>1015</v>
      </c>
    </row>
    <row r="34" spans="1:5" x14ac:dyDescent="0.25">
      <c r="A34" s="2">
        <v>33</v>
      </c>
      <c r="B34" s="2" t="s">
        <v>1016</v>
      </c>
      <c r="C34" s="2" t="s">
        <v>929</v>
      </c>
      <c r="D34" s="2" t="s">
        <v>1017</v>
      </c>
      <c r="E34" s="2" t="s">
        <v>1018</v>
      </c>
    </row>
    <row r="35" spans="1:5" x14ac:dyDescent="0.25">
      <c r="A35" s="2">
        <v>34</v>
      </c>
      <c r="B35" s="2" t="s">
        <v>1019</v>
      </c>
      <c r="C35" s="2" t="s">
        <v>929</v>
      </c>
      <c r="D35" s="2" t="s">
        <v>1020</v>
      </c>
      <c r="E35" s="2" t="s">
        <v>1018</v>
      </c>
    </row>
    <row r="36" spans="1:5" x14ac:dyDescent="0.25">
      <c r="A36" s="2">
        <v>35</v>
      </c>
      <c r="B36" s="2" t="s">
        <v>1021</v>
      </c>
      <c r="C36" s="2" t="s">
        <v>929</v>
      </c>
      <c r="D36" s="2" t="s">
        <v>1022</v>
      </c>
      <c r="E36" s="2" t="s">
        <v>1018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ifc-bench</vt:lpstr>
      <vt:lpstr>ifcmodels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Hellin</dc:creator>
  <cp:lastModifiedBy>Hossein Etezadi</cp:lastModifiedBy>
  <dcterms:created xsi:type="dcterms:W3CDTF">2025-10-13T08:29:47Z</dcterms:created>
  <dcterms:modified xsi:type="dcterms:W3CDTF">2025-10-27T06:40:22Z</dcterms:modified>
</cp:coreProperties>
</file>